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<sst xmlns="http://schemas.openxmlformats.org/spreadsheetml/2006/main" count="544" uniqueCount="80">
  <si>
    <t xml:space="preserve">district</t>
  </si>
  <si>
    <t xml:space="preserve">timeperiod</t>
  </si>
  <si>
    <t xml:space="preserve">Heat-hazard%</t>
  </si>
  <si>
    <t xml:space="preserve">exposure%</t>
  </si>
  <si>
    <t xml:space="preserve">Vulnerability%</t>
  </si>
  <si>
    <t xml:space="preserve">Government-response%</t>
  </si>
  <si>
    <t xml:space="preserve">heat-risk-score</t>
  </si>
  <si>
    <t xml:space="preserve">Anugul</t>
  </si>
  <si>
    <t xml:space="preserve">2025_Apr-Jul</t>
  </si>
  <si>
    <t xml:space="preserve">Balangir</t>
  </si>
  <si>
    <t xml:space="preserve">Baleshwar</t>
  </si>
  <si>
    <t xml:space="preserve">Bargarh</t>
  </si>
  <si>
    <t xml:space="preserve">Bhadrak</t>
  </si>
  <si>
    <t xml:space="preserve">Boudh</t>
  </si>
  <si>
    <t xml:space="preserve">Cuttack</t>
  </si>
  <si>
    <t xml:space="preserve">Deogarh</t>
  </si>
  <si>
    <t xml:space="preserve">Dhenkanal</t>
  </si>
  <si>
    <t xml:space="preserve">Gajapati</t>
  </si>
  <si>
    <t xml:space="preserve">Ganjam</t>
  </si>
  <si>
    <t xml:space="preserve">Jagatsinghapur</t>
  </si>
  <si>
    <t xml:space="preserve">Jajapur</t>
  </si>
  <si>
    <t xml:space="preserve">Jharsuguda</t>
  </si>
  <si>
    <t xml:space="preserve">Kalahandi</t>
  </si>
  <si>
    <t xml:space="preserve">Kandhamal</t>
  </si>
  <si>
    <t xml:space="preserve">Kendrapara</t>
  </si>
  <si>
    <t xml:space="preserve">Kendujhar</t>
  </si>
  <si>
    <t xml:space="preserve">Khordha</t>
  </si>
  <si>
    <t xml:space="preserve">Koraput</t>
  </si>
  <si>
    <t xml:space="preserve">Malkangiri</t>
  </si>
  <si>
    <t xml:space="preserve">Mayurbhanj</t>
  </si>
  <si>
    <t xml:space="preserve">Nabarangpur</t>
  </si>
  <si>
    <t xml:space="preserve">Nayagarh</t>
  </si>
  <si>
    <t xml:space="preserve">Nuapada</t>
  </si>
  <si>
    <t xml:space="preserve">Puri</t>
  </si>
  <si>
    <t xml:space="preserve">Rayagada</t>
  </si>
  <si>
    <t xml:space="preserve">Sambalpur</t>
  </si>
  <si>
    <t xml:space="preserve">Sonepur</t>
  </si>
  <si>
    <t xml:space="preserve">Sundargarh</t>
  </si>
  <si>
    <t xml:space="preserve">2026_Apr-Jul</t>
  </si>
  <si>
    <t xml:space="preserve">BAJALI</t>
  </si>
  <si>
    <t xml:space="preserve">BAKSA</t>
  </si>
  <si>
    <t xml:space="preserve">BARPETA</t>
  </si>
  <si>
    <t xml:space="preserve">BISWANATH</t>
  </si>
  <si>
    <t xml:space="preserve">BONGAIGAON</t>
  </si>
  <si>
    <t xml:space="preserve">CACHAR</t>
  </si>
  <si>
    <t xml:space="preserve">CHARAIDEO</t>
  </si>
  <si>
    <t xml:space="preserve">CHIRANG</t>
  </si>
  <si>
    <t xml:space="preserve">DARRANG</t>
  </si>
  <si>
    <t xml:space="preserve">DHEMAJI</t>
  </si>
  <si>
    <t xml:space="preserve">DHUBRI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</si>
  <si>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</si>
  <si>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</si>
  <si>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</si>
  <si>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</si>
  <si>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</si>
  <si>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HOJAI</t>
  </si>
  <si>
    <t xml:space="preserve">JORHAT</t>
  </si>
  <si>
    <t xml:space="preserve">KAMRUP</t>
  </si>
  <si>
    <t xml:space="preserve">KAMRUP METRO</t>
  </si>
  <si>
    <t xml:space="preserve">KARBI ANGLONG</t>
  </si>
  <si>
    <t xml:space="preserve">KARIMGANJ</t>
  </si>
  <si>
    <t xml:space="preserve">KOKRAJHAR</t>
  </si>
  <si>
    <t xml:space="preserve">LAKHIMPUR</t>
  </si>
  <si>
    <t xml:space="preserve">MAJULI</t>
  </si>
  <si>
    <t xml:space="preserve">MORIGAON</t>
  </si>
  <si>
    <t xml:space="preserve">NAGAON</t>
  </si>
  <si>
    <t xml:space="preserve">NALBARI</t>
  </si>
  <si>
    <t xml:space="preserve">SIVASAGAR</t>
  </si>
  <si>
    <t xml:space="preserve">SONITPUR</t>
  </si>
  <si>
    <t xml:space="preserve">SOUTH SALMARA MANCACHAR</t>
  </si>
  <si>
    <t xml:space="preserve">TAMULPUR</t>
  </si>
  <si>
    <t xml:space="preserve">TINSUKIA</t>
  </si>
  <si>
    <t xml:space="preserve">UDALGURI</t>
  </si>
  <si>
    <t xml:space="preserve">WEST KARBI ANGLONG</t>
  </si>
  <si>
    <t xml:space="preserve">heat-hazard</t>
  </si>
  <si>
    <t xml:space="preserve">exposure</t>
  </si>
  <si>
    <t xml:space="preserve">vulnerability</t>
  </si>
  <si>
    <t xml:space="preserve">government-response</t>
  </si>
  <si>
    <t xml:space="preserve">topsis-score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</si>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</sst>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true" showOutlineSymbols="true" defaultGridColor="true" view="normal" topLeftCell="A37" colorId="64" zoomScale="120" zoomScaleNormal="120" zoomScalePageLayoutView="100" workbookViewId="0">
      <selection pane="topLeft" activeCell="F44" activeCellId="0" sqref="F4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39"/>
    <col collapsed="false" customWidth="true" hidden="false" outlineLevel="0" max="4" min="4" style="0" width="15.87"/>
    <col collapsed="false" customWidth="true" hidden="false" outlineLevel="0" max="5" min="5" style="0" width="12.75"/>
    <col collapsed="false" customWidth="true" hidden="false" outlineLevel="0" max="6" min="6" style="0" width="21.44"/>
    <col collapsed="false" customWidth="true" hidden="false" outlineLevel="0" max="7" min="7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1" t="n">
        <v>52.1739130434783</v>
      </c>
      <c r="D2" s="1" t="n">
        <v>13.0434782608696</v>
      </c>
      <c r="E2" s="1" t="n">
        <v>8.69565217391304</v>
      </c>
      <c r="F2" s="1" t="n">
        <v>26.0869565217391</v>
      </c>
      <c r="G2" s="0" t="n">
        <v>3</v>
      </c>
    </row>
    <row r="3" customFormat="false" ht="12.8" hidden="false" customHeight="false" outlineLevel="0" collapsed="false">
      <c r="A3" s="0" t="s">
        <v>9</v>
      </c>
      <c r="B3" s="0" t="s">
        <v>8</v>
      </c>
      <c r="C3" s="1" t="n">
        <v>62.5</v>
      </c>
      <c r="D3" s="1" t="n">
        <v>12.5</v>
      </c>
      <c r="E3" s="1" t="n">
        <v>6.25</v>
      </c>
      <c r="F3" s="1" t="n">
        <v>18.75</v>
      </c>
      <c r="G3" s="0" t="n">
        <v>4</v>
      </c>
    </row>
    <row r="4" customFormat="false" ht="12.8" hidden="false" customHeight="false" outlineLevel="0" collapsed="false">
      <c r="A4" s="0" t="s">
        <v>10</v>
      </c>
      <c r="B4" s="0" t="s">
        <v>8</v>
      </c>
      <c r="C4" s="1" t="n">
        <v>22.2222222222222</v>
      </c>
      <c r="D4" s="1" t="n">
        <v>22.2222222222222</v>
      </c>
      <c r="E4" s="1" t="n">
        <v>22.2222222222222</v>
      </c>
      <c r="F4" s="1" t="n">
        <v>33.3333333333333</v>
      </c>
      <c r="G4" s="0" t="n">
        <v>2</v>
      </c>
    </row>
    <row r="5" customFormat="false" ht="12.8" hidden="false" customHeight="false" outlineLevel="0" collapsed="false">
      <c r="A5" s="0" t="s">
        <v>11</v>
      </c>
      <c r="B5" s="0" t="s">
        <v>8</v>
      </c>
      <c r="C5" s="1" t="n">
        <v>59.2592592592593</v>
      </c>
      <c r="D5" s="1" t="n">
        <v>11.1111111111111</v>
      </c>
      <c r="E5" s="1" t="n">
        <v>7.40740740740741</v>
      </c>
      <c r="F5" s="1" t="n">
        <v>22.2222222222222</v>
      </c>
      <c r="G5" s="0" t="n">
        <v>4</v>
      </c>
    </row>
    <row r="6" customFormat="false" ht="12.8" hidden="false" customHeight="false" outlineLevel="0" collapsed="false">
      <c r="A6" s="0" t="s">
        <v>12</v>
      </c>
      <c r="B6" s="0" t="s">
        <v>8</v>
      </c>
      <c r="C6" s="1" t="n">
        <v>34.7826086956522</v>
      </c>
      <c r="D6" s="1" t="n">
        <v>13.0434782608696</v>
      </c>
      <c r="E6" s="1" t="n">
        <v>26.0869565217391</v>
      </c>
      <c r="F6" s="1" t="n">
        <v>26.0869565217391</v>
      </c>
      <c r="G6" s="0" t="n">
        <v>3</v>
      </c>
    </row>
    <row r="7" customFormat="false" ht="12.8" hidden="false" customHeight="false" outlineLevel="0" collapsed="false">
      <c r="A7" s="0" t="s">
        <v>13</v>
      </c>
      <c r="B7" s="0" t="s">
        <v>8</v>
      </c>
      <c r="C7" s="1" t="n">
        <v>66.6666666666667</v>
      </c>
      <c r="D7" s="1" t="n">
        <v>6.66666666666667</v>
      </c>
      <c r="E7" s="1" t="n">
        <v>6.66666666666667</v>
      </c>
      <c r="F7" s="1" t="n">
        <v>20</v>
      </c>
      <c r="G7" s="0" t="n">
        <v>4</v>
      </c>
    </row>
    <row r="8" customFormat="false" ht="12.8" hidden="false" customHeight="false" outlineLevel="0" collapsed="false">
      <c r="A8" s="0" t="s">
        <v>14</v>
      </c>
      <c r="B8" s="0" t="s">
        <v>8</v>
      </c>
      <c r="C8" s="1" t="n">
        <v>55.1724137931034</v>
      </c>
      <c r="D8" s="1" t="n">
        <v>17.2413793103448</v>
      </c>
      <c r="E8" s="1" t="n">
        <v>6.89655172413793</v>
      </c>
      <c r="F8" s="1" t="n">
        <v>20.6896551724138</v>
      </c>
      <c r="G8" s="0" t="n">
        <v>4</v>
      </c>
    </row>
    <row r="9" customFormat="false" ht="12.8" hidden="false" customHeight="false" outlineLevel="0" collapsed="false">
      <c r="A9" s="0" t="s">
        <v>15</v>
      </c>
      <c r="B9" s="0" t="s">
        <v>8</v>
      </c>
      <c r="C9" s="1" t="n">
        <v>44.4444444444444</v>
      </c>
      <c r="D9" s="1" t="n">
        <v>11.1111111111111</v>
      </c>
      <c r="E9" s="1" t="n">
        <v>11.1111111111111</v>
      </c>
      <c r="F9" s="1" t="n">
        <v>33.3333333333333</v>
      </c>
      <c r="G9" s="0" t="n">
        <v>2</v>
      </c>
    </row>
    <row r="10" customFormat="false" ht="12.8" hidden="false" customHeight="false" outlineLevel="0" collapsed="false">
      <c r="A10" s="0" t="s">
        <v>16</v>
      </c>
      <c r="B10" s="0" t="s">
        <v>8</v>
      </c>
      <c r="C10" s="1" t="n">
        <v>48</v>
      </c>
      <c r="D10" s="1" t="n">
        <v>12</v>
      </c>
      <c r="E10" s="1" t="n">
        <v>16</v>
      </c>
      <c r="F10" s="1" t="n">
        <v>24</v>
      </c>
      <c r="G10" s="0" t="n">
        <v>3</v>
      </c>
    </row>
    <row r="11" customFormat="false" ht="12.8" hidden="false" customHeight="false" outlineLevel="0" collapsed="false">
      <c r="A11" s="0" t="s">
        <v>17</v>
      </c>
      <c r="B11" s="0" t="s">
        <v>8</v>
      </c>
      <c r="C11" s="1" t="n">
        <v>44.4444444444444</v>
      </c>
      <c r="D11" s="1" t="n">
        <v>11.1111111111111</v>
      </c>
      <c r="E11" s="1" t="n">
        <v>11.1111111111111</v>
      </c>
      <c r="F11" s="1" t="n">
        <v>33.3333333333333</v>
      </c>
      <c r="G11" s="0" t="n">
        <v>2</v>
      </c>
    </row>
    <row r="12" customFormat="false" ht="12.8" hidden="false" customHeight="false" outlineLevel="0" collapsed="false">
      <c r="A12" s="0" t="s">
        <v>18</v>
      </c>
      <c r="B12" s="0" t="s">
        <v>8</v>
      </c>
      <c r="C12" s="1" t="n">
        <v>48</v>
      </c>
      <c r="D12" s="1" t="n">
        <v>20</v>
      </c>
      <c r="E12" s="1" t="n">
        <v>8</v>
      </c>
      <c r="F12" s="1" t="n">
        <v>24</v>
      </c>
      <c r="G12" s="0" t="n">
        <v>3</v>
      </c>
    </row>
    <row r="13" customFormat="false" ht="12.8" hidden="false" customHeight="false" outlineLevel="0" collapsed="false">
      <c r="A13" s="0" t="s">
        <v>19</v>
      </c>
      <c r="B13" s="0" t="s">
        <v>8</v>
      </c>
      <c r="C13" s="1" t="n">
        <v>42.1052631578947</v>
      </c>
      <c r="D13" s="1" t="n">
        <v>15.7894736842105</v>
      </c>
      <c r="E13" s="1" t="n">
        <v>10.5263157894737</v>
      </c>
      <c r="F13" s="1" t="n">
        <v>31.5789473684211</v>
      </c>
      <c r="G13" s="0" t="n">
        <v>2</v>
      </c>
    </row>
    <row r="14" customFormat="false" ht="12.8" hidden="false" customHeight="false" outlineLevel="0" collapsed="false">
      <c r="A14" s="0" t="s">
        <v>20</v>
      </c>
      <c r="B14" s="0" t="s">
        <v>8</v>
      </c>
      <c r="C14" s="1" t="n">
        <v>37.5</v>
      </c>
      <c r="D14" s="1" t="n">
        <v>12.5</v>
      </c>
      <c r="E14" s="1" t="n">
        <v>31.25</v>
      </c>
      <c r="F14" s="1" t="n">
        <v>18.75</v>
      </c>
      <c r="G14" s="0" t="n">
        <v>4</v>
      </c>
    </row>
    <row r="15" customFormat="false" ht="12.8" hidden="false" customHeight="false" outlineLevel="0" collapsed="false">
      <c r="A15" s="0" t="s">
        <v>21</v>
      </c>
      <c r="B15" s="0" t="s">
        <v>8</v>
      </c>
      <c r="C15" s="1" t="n">
        <v>54.5454545454545</v>
      </c>
      <c r="D15" s="1" t="n">
        <v>9.09090909090909</v>
      </c>
      <c r="E15" s="1" t="n">
        <v>9.09090909090909</v>
      </c>
      <c r="F15" s="1" t="n">
        <v>27.2727272727273</v>
      </c>
      <c r="G15" s="0" t="n">
        <v>3</v>
      </c>
    </row>
    <row r="16" customFormat="false" ht="12.8" hidden="false" customHeight="false" outlineLevel="0" collapsed="false">
      <c r="A16" s="0" t="s">
        <v>22</v>
      </c>
      <c r="B16" s="0" t="s">
        <v>8</v>
      </c>
      <c r="C16" s="1" t="n">
        <v>45.7142857142857</v>
      </c>
      <c r="D16" s="1" t="n">
        <v>8.57142857142857</v>
      </c>
      <c r="E16" s="1" t="n">
        <v>28.5714285714286</v>
      </c>
      <c r="F16" s="1" t="n">
        <v>17.1428571428571</v>
      </c>
      <c r="G16" s="0" t="n">
        <v>4</v>
      </c>
    </row>
    <row r="17" customFormat="false" ht="12.8" hidden="false" customHeight="false" outlineLevel="0" collapsed="false">
      <c r="A17" s="0" t="s">
        <v>23</v>
      </c>
      <c r="B17" s="0" t="s">
        <v>8</v>
      </c>
      <c r="C17" s="1" t="n">
        <v>54.5454545454545</v>
      </c>
      <c r="D17" s="1" t="n">
        <v>9.09090909090909</v>
      </c>
      <c r="E17" s="1" t="n">
        <v>9.09090909090909</v>
      </c>
      <c r="F17" s="1" t="n">
        <v>27.2727272727273</v>
      </c>
      <c r="G17" s="0" t="n">
        <v>3</v>
      </c>
    </row>
    <row r="18" customFormat="false" ht="12.8" hidden="false" customHeight="false" outlineLevel="0" collapsed="false">
      <c r="A18" s="0" t="s">
        <v>24</v>
      </c>
      <c r="B18" s="0" t="s">
        <v>8</v>
      </c>
      <c r="C18" s="1" t="n">
        <v>53.3333333333333</v>
      </c>
      <c r="D18" s="1" t="n">
        <v>20</v>
      </c>
      <c r="E18" s="1" t="n">
        <v>13.3333333333333</v>
      </c>
      <c r="F18" s="1" t="n">
        <v>13.3333333333333</v>
      </c>
      <c r="G18" s="0" t="n">
        <v>2</v>
      </c>
    </row>
    <row r="19" customFormat="false" ht="12.8" hidden="false" customHeight="false" outlineLevel="0" collapsed="false">
      <c r="A19" s="0" t="s">
        <v>25</v>
      </c>
      <c r="B19" s="0" t="s">
        <v>8</v>
      </c>
      <c r="C19" s="1" t="n">
        <v>40</v>
      </c>
      <c r="D19" s="1" t="n">
        <v>13.3333333333333</v>
      </c>
      <c r="E19" s="1" t="n">
        <v>26.6666666666667</v>
      </c>
      <c r="F19" s="1" t="n">
        <v>20</v>
      </c>
      <c r="G19" s="0" t="n">
        <v>4</v>
      </c>
    </row>
    <row r="20" customFormat="false" ht="12.8" hidden="false" customHeight="false" outlineLevel="0" collapsed="false">
      <c r="A20" s="0" t="s">
        <v>26</v>
      </c>
      <c r="B20" s="0" t="s">
        <v>8</v>
      </c>
      <c r="C20" s="1" t="n">
        <v>40</v>
      </c>
      <c r="D20" s="1" t="n">
        <v>20</v>
      </c>
      <c r="E20" s="1" t="n">
        <v>10</v>
      </c>
      <c r="F20" s="1" t="n">
        <v>30</v>
      </c>
      <c r="G20" s="0" t="n">
        <v>2</v>
      </c>
    </row>
    <row r="21" customFormat="false" ht="12.8" hidden="false" customHeight="false" outlineLevel="0" collapsed="false">
      <c r="A21" s="0" t="s">
        <v>27</v>
      </c>
      <c r="B21" s="0" t="s">
        <v>8</v>
      </c>
      <c r="C21" s="1" t="n">
        <v>52.1739130434783</v>
      </c>
      <c r="D21" s="1" t="n">
        <v>13.0434782608696</v>
      </c>
      <c r="E21" s="1" t="n">
        <v>8.69565217391304</v>
      </c>
      <c r="F21" s="1" t="n">
        <v>26.0869565217391</v>
      </c>
      <c r="G21" s="0" t="n">
        <v>3</v>
      </c>
    </row>
    <row r="22" customFormat="false" ht="12.8" hidden="false" customHeight="false" outlineLevel="0" collapsed="false">
      <c r="A22" s="0" t="s">
        <v>28</v>
      </c>
      <c r="B22" s="0" t="s">
        <v>8</v>
      </c>
      <c r="C22" s="1" t="n">
        <v>61.5384615384615</v>
      </c>
      <c r="D22" s="1" t="n">
        <v>7.69230769230769</v>
      </c>
      <c r="E22" s="1" t="n">
        <v>7.69230769230769</v>
      </c>
      <c r="F22" s="1" t="n">
        <v>23.0769230769231</v>
      </c>
      <c r="G22" s="0" t="n">
        <v>3</v>
      </c>
    </row>
    <row r="23" customFormat="false" ht="12.8" hidden="false" customHeight="false" outlineLevel="0" collapsed="false">
      <c r="A23" s="0" t="s">
        <v>29</v>
      </c>
      <c r="B23" s="0" t="s">
        <v>8</v>
      </c>
      <c r="C23" s="1" t="n">
        <v>47.0588235294118</v>
      </c>
      <c r="D23" s="1" t="n">
        <v>29.4117647058824</v>
      </c>
      <c r="E23" s="1" t="n">
        <v>11.7647058823529</v>
      </c>
      <c r="F23" s="1" t="n">
        <v>11.7647058823529</v>
      </c>
      <c r="G23" s="0" t="n">
        <v>2</v>
      </c>
    </row>
    <row r="24" customFormat="false" ht="12.8" hidden="false" customHeight="false" outlineLevel="0" collapsed="false">
      <c r="A24" s="0" t="s">
        <v>30</v>
      </c>
      <c r="B24" s="0" t="s">
        <v>8</v>
      </c>
      <c r="C24" s="1" t="n">
        <v>52.1739130434783</v>
      </c>
      <c r="D24" s="1" t="n">
        <v>13.0434782608696</v>
      </c>
      <c r="E24" s="1" t="n">
        <v>8.69565217391304</v>
      </c>
      <c r="F24" s="1" t="n">
        <v>26.0869565217391</v>
      </c>
      <c r="G24" s="0" t="n">
        <v>3</v>
      </c>
    </row>
    <row r="25" customFormat="false" ht="12.8" hidden="false" customHeight="false" outlineLevel="0" collapsed="false">
      <c r="A25" s="0" t="s">
        <v>31</v>
      </c>
      <c r="B25" s="0" t="s">
        <v>8</v>
      </c>
      <c r="C25" s="1" t="n">
        <v>61.5384615384615</v>
      </c>
      <c r="D25" s="1" t="n">
        <v>7.69230769230769</v>
      </c>
      <c r="E25" s="1" t="n">
        <v>7.69230769230769</v>
      </c>
      <c r="F25" s="1" t="n">
        <v>23.0769230769231</v>
      </c>
      <c r="G25" s="0" t="n">
        <v>3</v>
      </c>
    </row>
    <row r="26" customFormat="false" ht="12.8" hidden="false" customHeight="false" outlineLevel="0" collapsed="false">
      <c r="A26" s="0" t="s">
        <v>32</v>
      </c>
      <c r="B26" s="0" t="s">
        <v>8</v>
      </c>
      <c r="C26" s="1" t="n">
        <v>61.5384615384615</v>
      </c>
      <c r="D26" s="1" t="n">
        <v>7.69230769230769</v>
      </c>
      <c r="E26" s="1" t="n">
        <v>7.69230769230769</v>
      </c>
      <c r="F26" s="1" t="n">
        <v>23.0769230769231</v>
      </c>
      <c r="G26" s="0" t="n">
        <v>3</v>
      </c>
    </row>
    <row r="27" customFormat="false" ht="12.8" hidden="false" customHeight="false" outlineLevel="0" collapsed="false">
      <c r="A27" s="0" t="s">
        <v>33</v>
      </c>
      <c r="B27" s="0" t="s">
        <v>8</v>
      </c>
      <c r="C27" s="1" t="n">
        <v>53.3333333333333</v>
      </c>
      <c r="D27" s="1" t="n">
        <v>20</v>
      </c>
      <c r="E27" s="1" t="n">
        <v>13.3333333333333</v>
      </c>
      <c r="F27" s="1" t="n">
        <v>13.3333333333333</v>
      </c>
      <c r="G27" s="0" t="n">
        <v>2</v>
      </c>
    </row>
    <row r="28" customFormat="false" ht="12.8" hidden="false" customHeight="false" outlineLevel="0" collapsed="false">
      <c r="A28" s="0" t="s">
        <v>34</v>
      </c>
      <c r="B28" s="0" t="s">
        <v>8</v>
      </c>
      <c r="C28" s="1" t="n">
        <v>61.5384615384615</v>
      </c>
      <c r="D28" s="1" t="n">
        <v>7.69230769230769</v>
      </c>
      <c r="E28" s="1" t="n">
        <v>7.69230769230769</v>
      </c>
      <c r="F28" s="1" t="n">
        <v>23.0769230769231</v>
      </c>
      <c r="G28" s="0" t="n">
        <v>3</v>
      </c>
    </row>
    <row r="29" customFormat="false" ht="12.8" hidden="false" customHeight="false" outlineLevel="0" collapsed="false">
      <c r="A29" s="0" t="s">
        <v>35</v>
      </c>
      <c r="B29" s="0" t="s">
        <v>8</v>
      </c>
      <c r="C29" s="1" t="n">
        <v>52.1739130434783</v>
      </c>
      <c r="D29" s="1" t="n">
        <v>13.0434782608696</v>
      </c>
      <c r="E29" s="1" t="n">
        <v>8.69565217391304</v>
      </c>
      <c r="F29" s="1" t="n">
        <v>26.0869565217391</v>
      </c>
      <c r="G29" s="0" t="n">
        <v>3</v>
      </c>
    </row>
    <row r="30" customFormat="false" ht="12.8" hidden="false" customHeight="false" outlineLevel="0" collapsed="false">
      <c r="A30" s="0" t="s">
        <v>36</v>
      </c>
      <c r="B30" s="0" t="s">
        <v>8</v>
      </c>
      <c r="C30" s="1" t="n">
        <v>66.6666666666667</v>
      </c>
      <c r="D30" s="1" t="n">
        <v>6.66666666666667</v>
      </c>
      <c r="E30" s="1" t="n">
        <v>6.66666666666667</v>
      </c>
      <c r="F30" s="1" t="n">
        <v>20</v>
      </c>
      <c r="G30" s="0" t="n">
        <v>4</v>
      </c>
    </row>
    <row r="31" customFormat="false" ht="12.8" hidden="false" customHeight="false" outlineLevel="0" collapsed="false">
      <c r="A31" s="0" t="s">
        <v>37</v>
      </c>
      <c r="B31" s="0" t="s">
        <v>8</v>
      </c>
      <c r="C31" s="1" t="n">
        <v>50</v>
      </c>
      <c r="D31" s="1" t="n">
        <v>16.6666666666667</v>
      </c>
      <c r="E31" s="1" t="n">
        <v>8.33333333333333</v>
      </c>
      <c r="F31" s="1" t="n">
        <v>25</v>
      </c>
      <c r="G31" s="0" t="n">
        <v>3</v>
      </c>
    </row>
    <row r="32" customFormat="false" ht="12.8" hidden="false" customHeight="false" outlineLevel="0" collapsed="false">
      <c r="A32" s="0" t="s">
        <v>7</v>
      </c>
      <c r="B32" s="0" t="s">
        <v>38</v>
      </c>
      <c r="C32" s="1" t="n">
        <v>59.2592592592593</v>
      </c>
      <c r="D32" s="1" t="n">
        <v>11.1111111111111</v>
      </c>
      <c r="E32" s="1" t="n">
        <v>7.40740740740741</v>
      </c>
      <c r="F32" s="1" t="n">
        <v>22.2222222222222</v>
      </c>
      <c r="G32" s="0" t="n">
        <v>3</v>
      </c>
    </row>
    <row r="33" customFormat="false" ht="12.8" hidden="false" customHeight="false" outlineLevel="0" collapsed="false">
      <c r="A33" s="0" t="s">
        <v>9</v>
      </c>
      <c r="B33" s="0" t="s">
        <v>38</v>
      </c>
      <c r="C33" s="1" t="n">
        <v>40</v>
      </c>
      <c r="D33" s="1" t="n">
        <v>20</v>
      </c>
      <c r="E33" s="1" t="n">
        <v>10</v>
      </c>
      <c r="F33" s="1" t="n">
        <v>30</v>
      </c>
      <c r="G33" s="0" t="n">
        <v>1</v>
      </c>
    </row>
    <row r="34" customFormat="false" ht="12.8" hidden="false" customHeight="false" outlineLevel="0" collapsed="false">
      <c r="A34" s="0" t="s">
        <v>10</v>
      </c>
      <c r="B34" s="0" t="s">
        <v>38</v>
      </c>
      <c r="C34" s="1" t="n">
        <v>46.1538461538462</v>
      </c>
      <c r="D34" s="1" t="n">
        <v>15.3846153846154</v>
      </c>
      <c r="E34" s="1" t="n">
        <v>15.3846153846154</v>
      </c>
      <c r="F34" s="1" t="n">
        <v>23.0769230769231</v>
      </c>
      <c r="G34" s="0" t="n">
        <v>2</v>
      </c>
    </row>
    <row r="35" customFormat="false" ht="12.8" hidden="false" customHeight="false" outlineLevel="0" collapsed="false">
      <c r="A35" s="0" t="s">
        <v>11</v>
      </c>
      <c r="B35" s="0" t="s">
        <v>38</v>
      </c>
      <c r="C35" s="1" t="n">
        <v>42.1052631578947</v>
      </c>
      <c r="D35" s="1" t="n">
        <v>15.7894736842105</v>
      </c>
      <c r="E35" s="1" t="n">
        <v>10.5263157894737</v>
      </c>
      <c r="F35" s="1" t="n">
        <v>31.5789473684211</v>
      </c>
      <c r="G35" s="0" t="n">
        <v>1</v>
      </c>
    </row>
    <row r="36" customFormat="false" ht="12.8" hidden="false" customHeight="false" outlineLevel="0" collapsed="false">
      <c r="A36" s="0" t="s">
        <v>12</v>
      </c>
      <c r="B36" s="0" t="s">
        <v>38</v>
      </c>
      <c r="C36" s="1" t="n">
        <v>44.4444444444444</v>
      </c>
      <c r="D36" s="1" t="n">
        <v>11.1111111111111</v>
      </c>
      <c r="E36" s="1" t="n">
        <v>22.2222222222222</v>
      </c>
      <c r="F36" s="1" t="n">
        <v>22.2222222222222</v>
      </c>
      <c r="G36" s="0" t="n">
        <v>2</v>
      </c>
    </row>
    <row r="37" customFormat="false" ht="12.8" hidden="false" customHeight="false" outlineLevel="0" collapsed="false">
      <c r="A37" s="0" t="s">
        <v>13</v>
      </c>
      <c r="B37" s="0" t="s">
        <v>38</v>
      </c>
      <c r="C37" s="1" t="n">
        <v>54.5454545454545</v>
      </c>
      <c r="D37" s="1" t="n">
        <v>9.09090909090909</v>
      </c>
      <c r="E37" s="1" t="n">
        <v>9.09090909090909</v>
      </c>
      <c r="F37" s="1" t="n">
        <v>27.2727272727273</v>
      </c>
      <c r="G37" s="0" t="n">
        <v>2</v>
      </c>
    </row>
    <row r="38" customFormat="false" ht="12.8" hidden="false" customHeight="false" outlineLevel="0" collapsed="false">
      <c r="A38" s="0" t="s">
        <v>14</v>
      </c>
      <c r="B38" s="0" t="s">
        <v>38</v>
      </c>
      <c r="C38" s="1" t="n">
        <v>55.1724137931034</v>
      </c>
      <c r="D38" s="1" t="n">
        <v>17.2413793103448</v>
      </c>
      <c r="E38" s="1" t="n">
        <v>6.89655172413793</v>
      </c>
      <c r="F38" s="1" t="n">
        <v>20.6896551724138</v>
      </c>
      <c r="G38" s="0" t="n">
        <v>3</v>
      </c>
    </row>
    <row r="39" customFormat="false" ht="12.8" hidden="false" customHeight="false" outlineLevel="0" collapsed="false">
      <c r="A39" s="0" t="s">
        <v>15</v>
      </c>
      <c r="B39" s="0" t="s">
        <v>38</v>
      </c>
      <c r="C39" s="1" t="n">
        <v>61.5384615384615</v>
      </c>
      <c r="D39" s="1" t="n">
        <v>7.69230769230769</v>
      </c>
      <c r="E39" s="1" t="n">
        <v>7.69230769230769</v>
      </c>
      <c r="F39" s="1" t="n">
        <v>23.0769230769231</v>
      </c>
      <c r="G39" s="0" t="n">
        <v>3</v>
      </c>
    </row>
    <row r="40" customFormat="false" ht="12.8" hidden="false" customHeight="false" outlineLevel="0" collapsed="false">
      <c r="A40" s="0" t="s">
        <v>16</v>
      </c>
      <c r="B40" s="0" t="s">
        <v>38</v>
      </c>
      <c r="C40" s="1" t="n">
        <v>60.6060606060606</v>
      </c>
      <c r="D40" s="1" t="n">
        <v>9.09090909090909</v>
      </c>
      <c r="E40" s="1" t="n">
        <v>12.1212121212121</v>
      </c>
      <c r="F40" s="1" t="n">
        <v>18.1818181818182</v>
      </c>
      <c r="G40" s="0" t="n">
        <v>4</v>
      </c>
    </row>
    <row r="41" customFormat="false" ht="12.8" hidden="false" customHeight="false" outlineLevel="0" collapsed="false">
      <c r="A41" s="0" t="s">
        <v>17</v>
      </c>
      <c r="B41" s="0" t="s">
        <v>38</v>
      </c>
      <c r="C41" s="1" t="n">
        <v>61.5384615384615</v>
      </c>
      <c r="D41" s="1" t="n">
        <v>7.69230769230769</v>
      </c>
      <c r="E41" s="1" t="n">
        <v>7.69230769230769</v>
      </c>
      <c r="F41" s="1" t="n">
        <v>23.0769230769231</v>
      </c>
      <c r="G41" s="0" t="n">
        <v>3</v>
      </c>
    </row>
    <row r="42" customFormat="false" ht="12.8" hidden="false" customHeight="false" outlineLevel="0" collapsed="false">
      <c r="A42" s="0" t="s">
        <v>18</v>
      </c>
      <c r="B42" s="0" t="s">
        <v>38</v>
      </c>
      <c r="C42" s="1" t="n">
        <v>55.1724137931034</v>
      </c>
      <c r="D42" s="1" t="n">
        <v>17.2413793103448</v>
      </c>
      <c r="E42" s="1" t="n">
        <v>6.89655172413793</v>
      </c>
      <c r="F42" s="1" t="n">
        <v>20.6896551724138</v>
      </c>
      <c r="G42" s="0" t="n">
        <v>3</v>
      </c>
    </row>
    <row r="43" customFormat="false" ht="12.8" hidden="false" customHeight="false" outlineLevel="0" collapsed="false">
      <c r="A43" s="0" t="s">
        <v>19</v>
      </c>
      <c r="B43" s="0" t="s">
        <v>38</v>
      </c>
      <c r="C43" s="1" t="n">
        <v>42.1052631578947</v>
      </c>
      <c r="D43" s="1" t="n">
        <v>15.7894736842105</v>
      </c>
      <c r="E43" s="1" t="n">
        <v>10.5263157894737</v>
      </c>
      <c r="F43" s="1" t="n">
        <v>31.5789473684211</v>
      </c>
      <c r="G43" s="0" t="n">
        <v>1</v>
      </c>
    </row>
    <row r="44" customFormat="false" ht="12.8" hidden="false" customHeight="false" outlineLevel="0" collapsed="false">
      <c r="A44" s="0" t="s">
        <v>20</v>
      </c>
      <c r="B44" s="0" t="s">
        <v>38</v>
      </c>
      <c r="C44" s="1" t="n">
        <v>50</v>
      </c>
      <c r="D44" s="1" t="n">
        <v>10</v>
      </c>
      <c r="E44" s="1" t="n">
        <v>25</v>
      </c>
      <c r="F44" s="1" t="n">
        <v>15</v>
      </c>
      <c r="G44" s="0" t="n">
        <v>5</v>
      </c>
    </row>
    <row r="45" customFormat="false" ht="12.8" hidden="false" customHeight="false" outlineLevel="0" collapsed="false">
      <c r="A45" s="0" t="s">
        <v>21</v>
      </c>
      <c r="B45" s="0" t="s">
        <v>38</v>
      </c>
      <c r="C45" s="1" t="n">
        <v>44.4444444444444</v>
      </c>
      <c r="D45" s="1" t="n">
        <v>11.1111111111111</v>
      </c>
      <c r="E45" s="1" t="n">
        <v>11.1111111111111</v>
      </c>
      <c r="F45" s="1" t="n">
        <v>33.3333333333333</v>
      </c>
      <c r="G45" s="0" t="n">
        <v>1</v>
      </c>
    </row>
    <row r="46" customFormat="false" ht="12.8" hidden="false" customHeight="false" outlineLevel="0" collapsed="false">
      <c r="A46" s="0" t="s">
        <v>22</v>
      </c>
      <c r="B46" s="0" t="s">
        <v>38</v>
      </c>
      <c r="C46" s="1" t="n">
        <v>29.6296296296296</v>
      </c>
      <c r="D46" s="1" t="n">
        <v>11.1111111111111</v>
      </c>
      <c r="E46" s="1" t="n">
        <v>37.037037037037</v>
      </c>
      <c r="F46" s="1" t="n">
        <v>22.2222222222222</v>
      </c>
      <c r="G46" s="0" t="n">
        <v>2</v>
      </c>
    </row>
    <row r="47" customFormat="false" ht="12.8" hidden="false" customHeight="false" outlineLevel="0" collapsed="false">
      <c r="A47" s="0" t="s">
        <v>23</v>
      </c>
      <c r="B47" s="0" t="s">
        <v>38</v>
      </c>
      <c r="C47" s="1" t="n">
        <v>54.5454545454545</v>
      </c>
      <c r="D47" s="1" t="n">
        <v>9.09090909090909</v>
      </c>
      <c r="E47" s="1" t="n">
        <v>9.09090909090909</v>
      </c>
      <c r="F47" s="1" t="n">
        <v>27.2727272727273</v>
      </c>
      <c r="G47" s="0" t="n">
        <v>2</v>
      </c>
    </row>
    <row r="48" customFormat="false" ht="12.8" hidden="false" customHeight="false" outlineLevel="0" collapsed="false">
      <c r="A48" s="0" t="s">
        <v>24</v>
      </c>
      <c r="B48" s="0" t="s">
        <v>38</v>
      </c>
      <c r="C48" s="1" t="n">
        <v>42.1052631578947</v>
      </c>
      <c r="D48" s="1" t="n">
        <v>15.7894736842105</v>
      </c>
      <c r="E48" s="1" t="n">
        <v>10.5263157894737</v>
      </c>
      <c r="F48" s="1" t="n">
        <v>31.5789473684211</v>
      </c>
      <c r="G48" s="0" t="n">
        <v>1</v>
      </c>
    </row>
    <row r="49" customFormat="false" ht="12.8" hidden="false" customHeight="false" outlineLevel="0" collapsed="false">
      <c r="A49" s="0" t="s">
        <v>25</v>
      </c>
      <c r="B49" s="0" t="s">
        <v>38</v>
      </c>
      <c r="C49" s="1" t="n">
        <v>47.0588235294118</v>
      </c>
      <c r="D49" s="1" t="n">
        <v>11.7647058823529</v>
      </c>
      <c r="E49" s="1" t="n">
        <v>23.5294117647059</v>
      </c>
      <c r="F49" s="1" t="n">
        <v>17.6470588235294</v>
      </c>
      <c r="G49" s="0" t="n">
        <v>4</v>
      </c>
    </row>
    <row r="50" customFormat="false" ht="12.8" hidden="false" customHeight="false" outlineLevel="0" collapsed="false">
      <c r="A50" s="0" t="s">
        <v>26</v>
      </c>
      <c r="B50" s="0" t="s">
        <v>38</v>
      </c>
      <c r="C50" s="1" t="n">
        <v>50</v>
      </c>
      <c r="D50" s="1" t="n">
        <v>16.6666666666667</v>
      </c>
      <c r="E50" s="1" t="n">
        <v>8.33333333333333</v>
      </c>
      <c r="F50" s="1" t="n">
        <v>25</v>
      </c>
      <c r="G50" s="0" t="n">
        <v>2</v>
      </c>
    </row>
    <row r="51" customFormat="false" ht="12.8" hidden="false" customHeight="false" outlineLevel="0" collapsed="false">
      <c r="A51" s="0" t="s">
        <v>27</v>
      </c>
      <c r="B51" s="0" t="s">
        <v>38</v>
      </c>
      <c r="C51" s="1" t="n">
        <v>59.2592592592593</v>
      </c>
      <c r="D51" s="1" t="n">
        <v>11.1111111111111</v>
      </c>
      <c r="E51" s="1" t="n">
        <v>7.40740740740741</v>
      </c>
      <c r="F51" s="1" t="n">
        <v>22.2222222222222</v>
      </c>
      <c r="G51" s="0" t="n">
        <v>3</v>
      </c>
    </row>
    <row r="52" customFormat="false" ht="12.8" hidden="false" customHeight="false" outlineLevel="0" collapsed="false">
      <c r="A52" s="0" t="s">
        <v>28</v>
      </c>
      <c r="B52" s="0" t="s">
        <v>38</v>
      </c>
      <c r="C52" s="1" t="n">
        <v>61.5384615384615</v>
      </c>
      <c r="D52" s="1" t="n">
        <v>7.69230769230769</v>
      </c>
      <c r="E52" s="1" t="n">
        <v>7.69230769230769</v>
      </c>
      <c r="F52" s="1" t="n">
        <v>23.0769230769231</v>
      </c>
      <c r="G52" s="0" t="n">
        <v>3</v>
      </c>
    </row>
    <row r="53" customFormat="false" ht="12.8" hidden="false" customHeight="false" outlineLevel="0" collapsed="false">
      <c r="A53" s="0" t="s">
        <v>29</v>
      </c>
      <c r="B53" s="0" t="s">
        <v>38</v>
      </c>
      <c r="C53" s="1" t="n">
        <v>48</v>
      </c>
      <c r="D53" s="1" t="n">
        <v>20</v>
      </c>
      <c r="E53" s="1" t="n">
        <v>8</v>
      </c>
      <c r="F53" s="1" t="n">
        <v>24</v>
      </c>
      <c r="G53" s="0" t="n">
        <v>2</v>
      </c>
    </row>
    <row r="54" customFormat="false" ht="12.8" hidden="false" customHeight="false" outlineLevel="0" collapsed="false">
      <c r="A54" s="0" t="s">
        <v>30</v>
      </c>
      <c r="B54" s="0" t="s">
        <v>38</v>
      </c>
      <c r="C54" s="1" t="n">
        <v>52.1739130434783</v>
      </c>
      <c r="D54" s="1" t="n">
        <v>13.0434782608696</v>
      </c>
      <c r="E54" s="1" t="n">
        <v>8.69565217391304</v>
      </c>
      <c r="F54" s="1" t="n">
        <v>26.0869565217391</v>
      </c>
      <c r="G54" s="0" t="n">
        <v>2</v>
      </c>
    </row>
    <row r="55" customFormat="false" ht="12.8" hidden="false" customHeight="false" outlineLevel="0" collapsed="false">
      <c r="A55" s="0" t="s">
        <v>31</v>
      </c>
      <c r="B55" s="0" t="s">
        <v>38</v>
      </c>
      <c r="C55" s="1" t="n">
        <v>66.6666666666667</v>
      </c>
      <c r="D55" s="1" t="n">
        <v>6.66666666666667</v>
      </c>
      <c r="E55" s="1" t="n">
        <v>6.66666666666667</v>
      </c>
      <c r="F55" s="1" t="n">
        <v>20</v>
      </c>
      <c r="G55" s="0" t="n">
        <v>4</v>
      </c>
    </row>
    <row r="56" customFormat="false" ht="12.8" hidden="false" customHeight="false" outlineLevel="0" collapsed="false">
      <c r="A56" s="0" t="s">
        <v>32</v>
      </c>
      <c r="B56" s="0" t="s">
        <v>38</v>
      </c>
      <c r="C56" s="1" t="n">
        <v>44.4444444444444</v>
      </c>
      <c r="D56" s="1" t="n">
        <v>11.1111111111111</v>
      </c>
      <c r="E56" s="1" t="n">
        <v>11.1111111111111</v>
      </c>
      <c r="F56" s="1" t="n">
        <v>33.3333333333333</v>
      </c>
      <c r="G56" s="0" t="n">
        <v>1</v>
      </c>
    </row>
    <row r="57" customFormat="false" ht="12.8" hidden="false" customHeight="false" outlineLevel="0" collapsed="false">
      <c r="A57" s="0" t="s">
        <v>33</v>
      </c>
      <c r="B57" s="0" t="s">
        <v>38</v>
      </c>
      <c r="C57" s="1" t="n">
        <v>42.1052631578947</v>
      </c>
      <c r="D57" s="1" t="n">
        <v>15.7894736842105</v>
      </c>
      <c r="E57" s="1" t="n">
        <v>10.5263157894737</v>
      </c>
      <c r="F57" s="1" t="n">
        <v>31.5789473684211</v>
      </c>
      <c r="G57" s="0" t="n">
        <v>1</v>
      </c>
    </row>
    <row r="58" customFormat="false" ht="12.8" hidden="false" customHeight="false" outlineLevel="0" collapsed="false">
      <c r="A58" s="0" t="s">
        <v>34</v>
      </c>
      <c r="B58" s="0" t="s">
        <v>38</v>
      </c>
      <c r="C58" s="1" t="n">
        <v>61.5384615384615</v>
      </c>
      <c r="D58" s="1" t="n">
        <v>7.69230769230769</v>
      </c>
      <c r="E58" s="1" t="n">
        <v>7.69230769230769</v>
      </c>
      <c r="F58" s="1" t="n">
        <v>23.0769230769231</v>
      </c>
      <c r="G58" s="0" t="n">
        <v>3</v>
      </c>
    </row>
    <row r="59" customFormat="false" ht="12.8" hidden="false" customHeight="false" outlineLevel="0" collapsed="false">
      <c r="A59" s="0" t="s">
        <v>35</v>
      </c>
      <c r="B59" s="0" t="s">
        <v>38</v>
      </c>
      <c r="C59" s="1" t="n">
        <v>42.1052631578947</v>
      </c>
      <c r="D59" s="1" t="n">
        <v>15.7894736842105</v>
      </c>
      <c r="E59" s="1" t="n">
        <v>10.5263157894737</v>
      </c>
      <c r="F59" s="1" t="n">
        <v>31.5789473684211</v>
      </c>
      <c r="G59" s="0" t="n">
        <v>1</v>
      </c>
    </row>
    <row r="60" customFormat="false" ht="12.8" hidden="false" customHeight="false" outlineLevel="0" collapsed="false">
      <c r="A60" s="0" t="s">
        <v>36</v>
      </c>
      <c r="B60" s="0" t="s">
        <v>38</v>
      </c>
      <c r="C60" s="1" t="n">
        <v>44.4444444444444</v>
      </c>
      <c r="D60" s="1" t="n">
        <v>11.1111111111111</v>
      </c>
      <c r="E60" s="1" t="n">
        <v>11.1111111111111</v>
      </c>
      <c r="F60" s="1" t="n">
        <v>33.3333333333333</v>
      </c>
      <c r="G60" s="0" t="n">
        <v>1</v>
      </c>
    </row>
    <row r="61" customFormat="false" ht="12.8" hidden="false" customHeight="false" outlineLevel="0" collapsed="false">
      <c r="A61" s="0" t="s">
        <v>37</v>
      </c>
      <c r="B61" s="0" t="s">
        <v>38</v>
      </c>
      <c r="C61" s="1" t="n">
        <v>40</v>
      </c>
      <c r="D61" s="1" t="n">
        <v>20</v>
      </c>
      <c r="E61" s="1" t="n">
        <v>10</v>
      </c>
      <c r="F61" s="1" t="n">
        <v>30</v>
      </c>
      <c r="G61" s="0" t="n">
        <v>1</v>
      </c>
    </row>
    <row r="62" customFormat="false" ht="12.8" hidden="false" customHeight="false" outlineLevel="0" collapsed="false">
      <c r="A62" s="0" t="s">
        <v>39</v>
      </c>
      <c r="B62" s="0" t="s">
        <v>8</v>
      </c>
      <c r="C62" s="1" t="n">
        <v>28.5714285714286</v>
      </c>
      <c r="D62" s="1" t="n">
        <v>14.2857142857143</v>
      </c>
      <c r="E62" s="1" t="n">
        <v>14.2857142857143</v>
      </c>
      <c r="F62" s="1" t="n">
        <v>42.8571428571429</v>
      </c>
      <c r="G62" s="2" t="n">
        <v>2</v>
      </c>
    </row>
    <row r="63" customFormat="false" ht="12.8" hidden="false" customHeight="false" outlineLevel="0" collapsed="false">
      <c r="A63" s="0" t="s">
        <v>40</v>
      </c>
      <c r="B63" s="0" t="s">
        <v>8</v>
      </c>
      <c r="C63" s="1" t="n">
        <v>54.5454545454545</v>
      </c>
      <c r="D63" s="1" t="n">
        <v>9.09090909090909</v>
      </c>
      <c r="E63" s="1" t="n">
        <v>9.09090909090909</v>
      </c>
      <c r="F63" s="1" t="n">
        <v>27.2727272727273</v>
      </c>
      <c r="G63" s="2" t="n">
        <v>3</v>
      </c>
    </row>
    <row r="64" customFormat="false" ht="12.8" hidden="false" customHeight="false" outlineLevel="0" collapsed="false">
      <c r="A64" s="0" t="s">
        <v>41</v>
      </c>
      <c r="B64" s="0" t="s">
        <v>8</v>
      </c>
      <c r="C64" s="1" t="n">
        <v>50</v>
      </c>
      <c r="D64" s="1" t="n">
        <v>16.6666666666667</v>
      </c>
      <c r="E64" s="1" t="n">
        <v>8.33333333333333</v>
      </c>
      <c r="F64" s="1" t="n">
        <v>25</v>
      </c>
      <c r="G64" s="2" t="n">
        <v>3</v>
      </c>
    </row>
    <row r="65" customFormat="false" ht="12.8" hidden="false" customHeight="false" outlineLevel="0" collapsed="false">
      <c r="A65" s="0" t="s">
        <v>42</v>
      </c>
      <c r="B65" s="0" t="s">
        <v>8</v>
      </c>
      <c r="C65" s="1" t="n">
        <v>66.6666666666667</v>
      </c>
      <c r="D65" s="1" t="n">
        <v>6.66666666666667</v>
      </c>
      <c r="E65" s="1" t="n">
        <v>6.66666666666667</v>
      </c>
      <c r="F65" s="1" t="n">
        <v>20</v>
      </c>
      <c r="G65" s="2" t="n">
        <v>4</v>
      </c>
    </row>
    <row r="66" customFormat="false" ht="12.8" hidden="false" customHeight="false" outlineLevel="0" collapsed="false">
      <c r="A66" s="0" t="s">
        <v>43</v>
      </c>
      <c r="B66" s="0" t="s">
        <v>8</v>
      </c>
      <c r="C66" s="1" t="n">
        <v>52.1739130434783</v>
      </c>
      <c r="D66" s="1" t="n">
        <v>13.0434782608696</v>
      </c>
      <c r="E66" s="1" t="n">
        <v>8.69565217391304</v>
      </c>
      <c r="F66" s="1" t="n">
        <v>26.0869565217391</v>
      </c>
      <c r="G66" s="2" t="n">
        <v>3</v>
      </c>
    </row>
    <row r="67" customFormat="false" ht="12.8" hidden="false" customHeight="false" outlineLevel="0" collapsed="false">
      <c r="A67" s="0" t="s">
        <v>44</v>
      </c>
      <c r="B67" s="0" t="s">
        <v>8</v>
      </c>
      <c r="C67" s="1" t="n">
        <v>38.0952380952381</v>
      </c>
      <c r="D67" s="1" t="n">
        <v>23.8095238095238</v>
      </c>
      <c r="E67" s="1" t="n">
        <v>9.52380952380952</v>
      </c>
      <c r="F67" s="1" t="n">
        <v>28.5714285714286</v>
      </c>
      <c r="G67" s="2" t="n">
        <v>3</v>
      </c>
    </row>
    <row r="68" customFormat="false" ht="12.8" hidden="false" customHeight="false" outlineLevel="0" collapsed="false">
      <c r="A68" s="0" t="s">
        <v>45</v>
      </c>
      <c r="B68" s="0" t="s">
        <v>8</v>
      </c>
      <c r="C68" s="1" t="n">
        <v>54.5454545454545</v>
      </c>
      <c r="D68" s="1" t="n">
        <v>9.09090909090909</v>
      </c>
      <c r="E68" s="1" t="n">
        <v>9.09090909090909</v>
      </c>
      <c r="F68" s="1" t="n">
        <v>27.2727272727273</v>
      </c>
      <c r="G68" s="2" t="n">
        <v>3</v>
      </c>
    </row>
    <row r="69" customFormat="false" ht="12.8" hidden="false" customHeight="false" outlineLevel="0" collapsed="false">
      <c r="A69" s="0" t="s">
        <v>46</v>
      </c>
      <c r="B69" s="0" t="s">
        <v>8</v>
      </c>
      <c r="C69" s="1" t="n">
        <v>36.3636363636364</v>
      </c>
      <c r="D69" s="1" t="n">
        <v>9.09090909090909</v>
      </c>
      <c r="E69" s="1" t="n">
        <v>27.2727272727273</v>
      </c>
      <c r="F69" s="1" t="n">
        <v>27.2727272727273</v>
      </c>
      <c r="G69" s="2" t="n">
        <v>3</v>
      </c>
    </row>
    <row r="70" customFormat="false" ht="12.8" hidden="false" customHeight="false" outlineLevel="0" collapsed="false">
      <c r="A70" s="0" t="s">
        <v>47</v>
      </c>
      <c r="B70" s="0" t="s">
        <v>8</v>
      </c>
      <c r="C70" s="1" t="n">
        <v>42.1052631578947</v>
      </c>
      <c r="D70" s="1" t="n">
        <v>15.7894736842105</v>
      </c>
      <c r="E70" s="1" t="n">
        <v>10.5263157894737</v>
      </c>
      <c r="F70" s="1" t="n">
        <v>31.5789473684211</v>
      </c>
      <c r="G70" s="2" t="n">
        <v>2</v>
      </c>
    </row>
    <row r="71" customFormat="false" ht="12.8" hidden="false" customHeight="false" outlineLevel="0" collapsed="false">
      <c r="A71" s="0" t="s">
        <v>48</v>
      </c>
      <c r="B71" s="0" t="s">
        <v>8</v>
      </c>
      <c r="C71" s="1" t="n">
        <v>50</v>
      </c>
      <c r="D71" s="1" t="n">
        <v>8.33333333333333</v>
      </c>
      <c r="E71" s="1" t="n">
        <v>16.6666666666667</v>
      </c>
      <c r="F71" s="1" t="n">
        <v>25</v>
      </c>
      <c r="G71" s="2" t="n">
        <v>3</v>
      </c>
    </row>
    <row r="72" customFormat="false" ht="12.8" hidden="false" customHeight="false" outlineLevel="0" collapsed="false">
      <c r="A72" s="0" t="s">
        <v>49</v>
      </c>
      <c r="B72" s="0" t="s">
        <v>8</v>
      </c>
      <c r="C72" s="1" t="n">
        <v>46.1538461538462</v>
      </c>
      <c r="D72" s="1" t="n">
        <v>15.3846153846154</v>
      </c>
      <c r="E72" s="1" t="n">
        <v>15.3846153846154</v>
      </c>
      <c r="F72" s="1" t="n">
        <v>23.0769230769231</v>
      </c>
      <c r="G72" s="2" t="n">
        <v>3</v>
      </c>
    </row>
    <row r="73" customFormat="false" ht="12.8" hidden="false" customHeight="false" outlineLevel="0" collapsed="false">
      <c r="A73" s="0" t="s">
        <v>50</v>
      </c>
      <c r="B73" s="0" t="s">
        <v>8</v>
      </c>
      <c r="C73" s="1" t="n">
        <v>50</v>
      </c>
      <c r="D73" s="1" t="n">
        <v>12.5</v>
      </c>
      <c r="E73" s="1" t="n">
        <v>18.75</v>
      </c>
      <c r="F73" s="1" t="n">
        <v>18.75</v>
      </c>
      <c r="G73" s="2" t="n">
        <v>4</v>
      </c>
    </row>
    <row r="74" customFormat="false" ht="12.8" hidden="false" customHeight="false" outlineLevel="0" collapsed="false">
      <c r="A74" s="0" t="s">
        <v>51</v>
      </c>
      <c r="B74" s="0" t="s">
        <v>8</v>
      </c>
      <c r="C74" s="1" t="n">
        <v>44.4444444444444</v>
      </c>
      <c r="D74" s="1" t="n">
        <v>11.1111111111111</v>
      </c>
      <c r="E74" s="1" t="n">
        <v>11.1111111111111</v>
      </c>
      <c r="F74" s="1" t="n">
        <v>33.3333333333333</v>
      </c>
      <c r="G74" s="2" t="n">
        <v>2</v>
      </c>
    </row>
    <row r="75" customFormat="false" ht="12.8" hidden="false" customHeight="false" outlineLevel="0" collapsed="false">
      <c r="A75" s="0" t="s">
        <v>52</v>
      </c>
      <c r="B75" s="0" t="s">
        <v>8</v>
      </c>
      <c r="C75" s="1" t="n">
        <v>59.2592592592593</v>
      </c>
      <c r="D75" s="1" t="n">
        <v>11.1111111111111</v>
      </c>
      <c r="E75" s="1" t="n">
        <v>7.40740740740741</v>
      </c>
      <c r="F75" s="1" t="n">
        <v>22.2222222222222</v>
      </c>
      <c r="G75" s="2" t="n">
        <v>4</v>
      </c>
    </row>
    <row r="76" customFormat="false" ht="12.8" hidden="false" customHeight="false" outlineLevel="0" collapsed="false">
      <c r="A76" s="0" t="s">
        <v>53</v>
      </c>
      <c r="B76" s="0" t="s">
        <v>8</v>
      </c>
      <c r="C76" s="1" t="n">
        <v>50</v>
      </c>
      <c r="D76" s="1" t="n">
        <v>12.5</v>
      </c>
      <c r="E76" s="1" t="n">
        <v>18.75</v>
      </c>
      <c r="F76" s="1" t="n">
        <v>18.75</v>
      </c>
      <c r="G76" s="2" t="n">
        <v>4</v>
      </c>
    </row>
    <row r="77" customFormat="false" ht="12.8" hidden="false" customHeight="false" outlineLevel="0" collapsed="false">
      <c r="A77" s="0" t="s">
        <v>54</v>
      </c>
      <c r="B77" s="0" t="s">
        <v>8</v>
      </c>
      <c r="C77" s="1" t="n">
        <v>47.0588235294118</v>
      </c>
      <c r="D77" s="1" t="n">
        <v>17.6470588235294</v>
      </c>
      <c r="E77" s="1" t="n">
        <v>23.5294117647059</v>
      </c>
      <c r="F77" s="1" t="n">
        <v>11.7647058823529</v>
      </c>
      <c r="G77" s="2" t="n">
        <v>2</v>
      </c>
    </row>
    <row r="78" customFormat="false" ht="12.8" hidden="false" customHeight="false" outlineLevel="0" collapsed="false">
      <c r="A78" s="0" t="s">
        <v>55</v>
      </c>
      <c r="B78" s="0" t="s">
        <v>8</v>
      </c>
      <c r="C78" s="1" t="n">
        <v>48.4848484848485</v>
      </c>
      <c r="D78" s="1" t="n">
        <v>9.09090909090909</v>
      </c>
      <c r="E78" s="1" t="n">
        <v>24.2424242424242</v>
      </c>
      <c r="F78" s="1" t="n">
        <v>18.1818181818182</v>
      </c>
      <c r="G78" s="2" t="n">
        <v>4</v>
      </c>
    </row>
    <row r="79" customFormat="false" ht="12.8" hidden="false" customHeight="false" outlineLevel="0" collapsed="false">
      <c r="A79" s="0" t="s">
        <v>56</v>
      </c>
      <c r="B79" s="0" t="s">
        <v>8</v>
      </c>
      <c r="C79" s="1" t="n">
        <v>52.1739130434783</v>
      </c>
      <c r="D79" s="1" t="n">
        <v>13.0434782608696</v>
      </c>
      <c r="E79" s="1" t="n">
        <v>8.69565217391304</v>
      </c>
      <c r="F79" s="1" t="n">
        <v>26.0869565217391</v>
      </c>
      <c r="G79" s="2" t="n">
        <v>3</v>
      </c>
    </row>
    <row r="80" customFormat="false" ht="12.8" hidden="false" customHeight="false" outlineLevel="0" collapsed="false">
      <c r="A80" s="0" t="s">
        <v>57</v>
      </c>
      <c r="B80" s="0" t="s">
        <v>8</v>
      </c>
      <c r="C80" s="1" t="n">
        <v>50</v>
      </c>
      <c r="D80" s="1" t="n">
        <v>16.6666666666667</v>
      </c>
      <c r="E80" s="1" t="n">
        <v>8.33333333333333</v>
      </c>
      <c r="F80" s="1" t="n">
        <v>25</v>
      </c>
      <c r="G80" s="2" t="n">
        <v>3</v>
      </c>
    </row>
    <row r="81" customFormat="false" ht="12.8" hidden="false" customHeight="false" outlineLevel="0" collapsed="false">
      <c r="A81" s="0" t="s">
        <v>58</v>
      </c>
      <c r="B81" s="0" t="s">
        <v>8</v>
      </c>
      <c r="C81" s="1" t="n">
        <v>61.5384615384615</v>
      </c>
      <c r="D81" s="1" t="n">
        <v>15.3846153846154</v>
      </c>
      <c r="E81" s="1" t="n">
        <v>7.69230769230769</v>
      </c>
      <c r="F81" s="1" t="n">
        <v>15.3846153846154</v>
      </c>
      <c r="G81" s="2" t="n">
        <v>3</v>
      </c>
    </row>
    <row r="82" customFormat="false" ht="12.8" hidden="false" customHeight="false" outlineLevel="0" collapsed="false">
      <c r="A82" s="0" t="s">
        <v>59</v>
      </c>
      <c r="B82" s="0" t="s">
        <v>8</v>
      </c>
      <c r="C82" s="1" t="n">
        <v>50</v>
      </c>
      <c r="D82" s="1" t="n">
        <v>6.25</v>
      </c>
      <c r="E82" s="1" t="n">
        <v>25</v>
      </c>
      <c r="F82" s="1" t="n">
        <v>18.75</v>
      </c>
      <c r="G82" s="2" t="n">
        <v>4</v>
      </c>
    </row>
    <row r="83" customFormat="false" ht="12.8" hidden="false" customHeight="false" outlineLevel="0" collapsed="false">
      <c r="A83" s="0" t="s">
        <v>60</v>
      </c>
      <c r="B83" s="0" t="s">
        <v>8</v>
      </c>
      <c r="C83" s="1" t="n">
        <v>50</v>
      </c>
      <c r="D83" s="1" t="n">
        <v>25</v>
      </c>
      <c r="E83" s="1" t="n">
        <v>12.5</v>
      </c>
      <c r="F83" s="1" t="n">
        <v>12.5</v>
      </c>
      <c r="G83" s="2" t="n">
        <v>2</v>
      </c>
    </row>
    <row r="84" customFormat="false" ht="12.8" hidden="false" customHeight="false" outlineLevel="0" collapsed="false">
      <c r="A84" s="0" t="s">
        <v>61</v>
      </c>
      <c r="B84" s="0" t="s">
        <v>8</v>
      </c>
      <c r="C84" s="1" t="n">
        <v>34.7826086956522</v>
      </c>
      <c r="D84" s="1" t="n">
        <v>13.0434782608696</v>
      </c>
      <c r="E84" s="1" t="n">
        <v>26.0869565217391</v>
      </c>
      <c r="F84" s="1" t="n">
        <v>26.0869565217391</v>
      </c>
      <c r="G84" s="2" t="n">
        <v>3</v>
      </c>
    </row>
    <row r="85" customFormat="false" ht="12.8" hidden="false" customHeight="false" outlineLevel="0" collapsed="false">
      <c r="A85" s="0" t="s">
        <v>62</v>
      </c>
      <c r="B85" s="0" t="s">
        <v>8</v>
      </c>
      <c r="C85" s="1" t="n">
        <v>51.6129032258065</v>
      </c>
      <c r="D85" s="1" t="n">
        <v>9.67741935483871</v>
      </c>
      <c r="E85" s="1" t="n">
        <v>19.3548387096774</v>
      </c>
      <c r="F85" s="1" t="n">
        <v>19.3548387096774</v>
      </c>
      <c r="G85" s="2" t="n">
        <v>4</v>
      </c>
    </row>
    <row r="86" customFormat="false" ht="12.8" hidden="false" customHeight="false" outlineLevel="0" collapsed="false">
      <c r="A86" s="0" t="s">
        <v>63</v>
      </c>
      <c r="B86" s="0" t="s">
        <v>8</v>
      </c>
      <c r="C86" s="1" t="n">
        <v>57.1428571428571</v>
      </c>
      <c r="D86" s="1" t="n">
        <v>4.76190476190476</v>
      </c>
      <c r="E86" s="1" t="n">
        <v>9.52380952380952</v>
      </c>
      <c r="F86" s="1" t="n">
        <v>28.5714285714286</v>
      </c>
      <c r="G86" s="2" t="n">
        <v>3</v>
      </c>
    </row>
    <row r="87" customFormat="false" ht="12.8" hidden="false" customHeight="false" outlineLevel="0" collapsed="false">
      <c r="A87" s="0" t="s">
        <v>64</v>
      </c>
      <c r="B87" s="0" t="s">
        <v>8</v>
      </c>
      <c r="C87" s="1" t="n">
        <v>52.1739130434783</v>
      </c>
      <c r="D87" s="1" t="n">
        <v>13.0434782608696</v>
      </c>
      <c r="E87" s="1" t="n">
        <v>8.69565217391304</v>
      </c>
      <c r="F87" s="1" t="n">
        <v>26.0869565217391</v>
      </c>
      <c r="G87" s="2" t="n">
        <v>3</v>
      </c>
    </row>
    <row r="88" customFormat="false" ht="12.8" hidden="false" customHeight="false" outlineLevel="0" collapsed="false">
      <c r="A88" s="0" t="s">
        <v>65</v>
      </c>
      <c r="B88" s="0" t="s">
        <v>8</v>
      </c>
      <c r="C88" s="1" t="n">
        <v>55.1724137931034</v>
      </c>
      <c r="D88" s="1" t="n">
        <v>17.2413793103448</v>
      </c>
      <c r="E88" s="1" t="n">
        <v>6.89655172413793</v>
      </c>
      <c r="F88" s="1" t="n">
        <v>20.6896551724138</v>
      </c>
      <c r="G88" s="2" t="n">
        <v>4</v>
      </c>
    </row>
    <row r="89" customFormat="false" ht="12.8" hidden="false" customHeight="false" outlineLevel="0" collapsed="false">
      <c r="A89" s="0" t="s">
        <v>66</v>
      </c>
      <c r="B89" s="0" t="s">
        <v>8</v>
      </c>
      <c r="C89" s="1" t="n">
        <v>42.1052631578947</v>
      </c>
      <c r="D89" s="1" t="n">
        <v>15.7894736842105</v>
      </c>
      <c r="E89" s="1" t="n">
        <v>10.5263157894737</v>
      </c>
      <c r="F89" s="1" t="n">
        <v>31.5789473684211</v>
      </c>
      <c r="G89" s="2" t="n">
        <v>2</v>
      </c>
    </row>
    <row r="90" customFormat="false" ht="12.8" hidden="false" customHeight="false" outlineLevel="0" collapsed="false">
      <c r="A90" s="0" t="s">
        <v>67</v>
      </c>
      <c r="B90" s="0" t="s">
        <v>8</v>
      </c>
      <c r="C90" s="1" t="n">
        <v>54.5454545454545</v>
      </c>
      <c r="D90" s="1" t="n">
        <v>9.09090909090909</v>
      </c>
      <c r="E90" s="1" t="n">
        <v>9.09090909090909</v>
      </c>
      <c r="F90" s="1" t="n">
        <v>27.2727272727273</v>
      </c>
      <c r="G90" s="2" t="n">
        <v>3</v>
      </c>
    </row>
    <row r="91" customFormat="false" ht="12.8" hidden="false" customHeight="false" outlineLevel="0" collapsed="false">
      <c r="A91" s="0" t="s">
        <v>68</v>
      </c>
      <c r="B91" s="0" t="s">
        <v>8</v>
      </c>
      <c r="C91" s="1" t="n">
        <v>55.5555555555556</v>
      </c>
      <c r="D91" s="1" t="n">
        <v>11.1111111111111</v>
      </c>
      <c r="E91" s="1" t="n">
        <v>16.6666666666667</v>
      </c>
      <c r="F91" s="1" t="n">
        <v>16.6666666666667</v>
      </c>
      <c r="G91" s="2" t="n">
        <v>5</v>
      </c>
    </row>
    <row r="92" customFormat="false" ht="12.8" hidden="false" customHeight="false" outlineLevel="0" collapsed="false">
      <c r="A92" s="0" t="s">
        <v>69</v>
      </c>
      <c r="B92" s="0" t="s">
        <v>8</v>
      </c>
      <c r="C92" s="1" t="n">
        <v>54.5454545454545</v>
      </c>
      <c r="D92" s="1" t="n">
        <v>9.09090909090909</v>
      </c>
      <c r="E92" s="1" t="n">
        <v>9.09090909090909</v>
      </c>
      <c r="F92" s="1" t="n">
        <v>27.2727272727273</v>
      </c>
      <c r="G92" s="2" t="n">
        <v>3</v>
      </c>
    </row>
    <row r="93" customFormat="false" ht="12.8" hidden="false" customHeight="false" outlineLevel="0" collapsed="false">
      <c r="A93" s="0" t="s">
        <v>70</v>
      </c>
      <c r="B93" s="0" t="s">
        <v>8</v>
      </c>
      <c r="C93" s="1" t="n">
        <v>28.5714285714286</v>
      </c>
      <c r="D93" s="1" t="n">
        <v>14.2857142857143</v>
      </c>
      <c r="E93" s="1" t="n">
        <v>14.2857142857143</v>
      </c>
      <c r="F93" s="1" t="n">
        <v>42.8571428571429</v>
      </c>
      <c r="G93" s="2" t="n">
        <v>2</v>
      </c>
    </row>
    <row r="94" customFormat="false" ht="12.8" hidden="false" customHeight="false" outlineLevel="0" collapsed="false">
      <c r="A94" s="0" t="s">
        <v>71</v>
      </c>
      <c r="B94" s="0" t="s">
        <v>8</v>
      </c>
      <c r="C94" s="1" t="n">
        <v>47.0588235294118</v>
      </c>
      <c r="D94" s="1" t="n">
        <v>11.7647058823529</v>
      </c>
      <c r="E94" s="1" t="n">
        <v>23.5294117647059</v>
      </c>
      <c r="F94" s="1" t="n">
        <v>17.6470588235294</v>
      </c>
      <c r="G94" s="2" t="n">
        <v>4</v>
      </c>
    </row>
    <row r="95" customFormat="false" ht="12.8" hidden="false" customHeight="false" outlineLevel="0" collapsed="false">
      <c r="A95" s="0" t="s">
        <v>72</v>
      </c>
      <c r="B95" s="0" t="s">
        <v>8</v>
      </c>
      <c r="C95" s="1" t="n">
        <v>38.7096774193548</v>
      </c>
      <c r="D95" s="1" t="n">
        <v>9.67741935483871</v>
      </c>
      <c r="E95" s="1" t="n">
        <v>32.258064516129</v>
      </c>
      <c r="F95" s="1" t="n">
        <v>19.3548387096774</v>
      </c>
      <c r="G95" s="2" t="n">
        <v>4</v>
      </c>
    </row>
    <row r="96" customFormat="false" ht="12.8" hidden="false" customHeight="false" outlineLevel="0" collapsed="false">
      <c r="A96" s="0" t="s">
        <v>73</v>
      </c>
      <c r="B96" s="0" t="s">
        <v>8</v>
      </c>
      <c r="C96" s="1" t="n">
        <v>61.5384615384615</v>
      </c>
      <c r="D96" s="1" t="n">
        <v>7.69230769230769</v>
      </c>
      <c r="E96" s="1" t="n">
        <v>7.69230769230769</v>
      </c>
      <c r="F96" s="1" t="n">
        <v>23.0769230769231</v>
      </c>
      <c r="G96" s="2" t="n">
        <v>4</v>
      </c>
    </row>
    <row r="97" customFormat="false" ht="12.8" hidden="false" customHeight="false" outlineLevel="0" collapsed="false">
      <c r="A97" s="0" t="s">
        <v>39</v>
      </c>
      <c r="B97" s="0" t="s">
        <v>38</v>
      </c>
      <c r="C97" s="1" t="n">
        <v>44.4444444444444</v>
      </c>
      <c r="D97" s="1" t="n">
        <v>11.1111111111111</v>
      </c>
      <c r="E97" s="1" t="n">
        <v>11.1111111111111</v>
      </c>
      <c r="F97" s="1" t="n">
        <v>33.3333333333333</v>
      </c>
      <c r="G97" s="2" t="n">
        <v>2</v>
      </c>
    </row>
    <row r="98" customFormat="false" ht="12.8" hidden="false" customHeight="false" outlineLevel="0" collapsed="false">
      <c r="A98" s="0" t="s">
        <v>40</v>
      </c>
      <c r="B98" s="0" t="s">
        <v>38</v>
      </c>
      <c r="C98" s="1" t="n">
        <v>54.5454545454545</v>
      </c>
      <c r="D98" s="1" t="n">
        <v>9.09090909090909</v>
      </c>
      <c r="E98" s="1" t="n">
        <v>9.09090909090909</v>
      </c>
      <c r="F98" s="1" t="n">
        <v>27.2727272727273</v>
      </c>
      <c r="G98" s="2" t="n">
        <v>3</v>
      </c>
    </row>
    <row r="99" customFormat="false" ht="12.8" hidden="false" customHeight="false" outlineLevel="0" collapsed="false">
      <c r="A99" s="0" t="s">
        <v>41</v>
      </c>
      <c r="B99" s="0" t="s">
        <v>38</v>
      </c>
      <c r="C99" s="1" t="n">
        <v>50</v>
      </c>
      <c r="D99" s="1" t="n">
        <v>16.6666666666667</v>
      </c>
      <c r="E99" s="1" t="n">
        <v>8.33333333333333</v>
      </c>
      <c r="F99" s="1" t="n">
        <v>25</v>
      </c>
      <c r="G99" s="2" t="n">
        <v>3</v>
      </c>
    </row>
    <row r="100" customFormat="false" ht="12.8" hidden="false" customHeight="false" outlineLevel="0" collapsed="false">
      <c r="A100" s="0" t="s">
        <v>42</v>
      </c>
      <c r="B100" s="0" t="s">
        <v>38</v>
      </c>
      <c r="C100" s="1" t="n">
        <v>61.5384615384615</v>
      </c>
      <c r="D100" s="1" t="n">
        <v>7.69230769230769</v>
      </c>
      <c r="E100" s="1" t="n">
        <v>7.69230769230769</v>
      </c>
      <c r="F100" s="1" t="n">
        <v>23.0769230769231</v>
      </c>
      <c r="G100" s="2" t="n">
        <v>4</v>
      </c>
    </row>
    <row r="101" customFormat="false" ht="12.8" hidden="false" customHeight="false" outlineLevel="0" collapsed="false">
      <c r="A101" s="0" t="s">
        <v>43</v>
      </c>
      <c r="B101" s="0" t="s">
        <v>38</v>
      </c>
      <c r="C101" s="1" t="n">
        <v>42.1052631578947</v>
      </c>
      <c r="D101" s="1" t="n">
        <v>15.7894736842105</v>
      </c>
      <c r="E101" s="1" t="n">
        <v>10.5263157894737</v>
      </c>
      <c r="F101" s="1" t="n">
        <v>31.5789473684211</v>
      </c>
      <c r="G101" s="2" t="n">
        <v>2</v>
      </c>
    </row>
    <row r="102" customFormat="false" ht="12.8" hidden="false" customHeight="false" outlineLevel="0" collapsed="false">
      <c r="A102" s="0" t="s">
        <v>44</v>
      </c>
      <c r="B102" s="0" t="s">
        <v>38</v>
      </c>
      <c r="C102" s="1" t="n">
        <v>48</v>
      </c>
      <c r="D102" s="1" t="n">
        <v>20</v>
      </c>
      <c r="E102" s="1" t="n">
        <v>8</v>
      </c>
      <c r="F102" s="1" t="n">
        <v>24</v>
      </c>
      <c r="G102" s="2" t="n">
        <v>3</v>
      </c>
    </row>
    <row r="103" customFormat="false" ht="12.8" hidden="false" customHeight="false" outlineLevel="0" collapsed="false">
      <c r="A103" s="0" t="s">
        <v>45</v>
      </c>
      <c r="B103" s="0" t="s">
        <v>38</v>
      </c>
      <c r="C103" s="1" t="n">
        <v>61.5384615384615</v>
      </c>
      <c r="D103" s="1" t="n">
        <v>7.69230769230769</v>
      </c>
      <c r="E103" s="1" t="n">
        <v>7.69230769230769</v>
      </c>
      <c r="F103" s="1" t="n">
        <v>23.0769230769231</v>
      </c>
      <c r="G103" s="2" t="n">
        <v>4</v>
      </c>
    </row>
    <row r="104" customFormat="false" ht="12.8" hidden="false" customHeight="false" outlineLevel="0" collapsed="false">
      <c r="A104" s="0" t="s">
        <v>46</v>
      </c>
      <c r="B104" s="0" t="s">
        <v>38</v>
      </c>
      <c r="C104" s="1" t="n">
        <v>36.3636363636364</v>
      </c>
      <c r="D104" s="1" t="n">
        <v>9.09090909090909</v>
      </c>
      <c r="E104" s="1" t="n">
        <v>27.2727272727273</v>
      </c>
      <c r="F104" s="1" t="n">
        <v>27.2727272727273</v>
      </c>
      <c r="G104" s="2" t="n">
        <v>3</v>
      </c>
    </row>
    <row r="105" customFormat="false" ht="12.8" hidden="false" customHeight="false" outlineLevel="0" collapsed="false">
      <c r="A105" s="0" t="s">
        <v>47</v>
      </c>
      <c r="B105" s="0" t="s">
        <v>38</v>
      </c>
      <c r="C105" s="1" t="n">
        <v>42.1052631578947</v>
      </c>
      <c r="D105" s="1" t="n">
        <v>15.7894736842105</v>
      </c>
      <c r="E105" s="1" t="n">
        <v>10.5263157894737</v>
      </c>
      <c r="F105" s="1" t="n">
        <v>31.5789473684211</v>
      </c>
      <c r="G105" s="2" t="n">
        <v>2</v>
      </c>
    </row>
    <row r="106" customFormat="false" ht="12.8" hidden="false" customHeight="false" outlineLevel="0" collapsed="false">
      <c r="A106" s="0" t="s">
        <v>48</v>
      </c>
      <c r="B106" s="0" t="s">
        <v>38</v>
      </c>
      <c r="C106" s="1" t="n">
        <v>57.1428571428571</v>
      </c>
      <c r="D106" s="1" t="n">
        <v>7.14285714285714</v>
      </c>
      <c r="E106" s="1" t="n">
        <v>14.2857142857143</v>
      </c>
      <c r="F106" s="1" t="n">
        <v>21.4285714285714</v>
      </c>
      <c r="G106" s="2" t="n">
        <v>4</v>
      </c>
    </row>
    <row r="107" customFormat="false" ht="12.8" hidden="false" customHeight="false" outlineLevel="0" collapsed="false">
      <c r="A107" s="0" t="s">
        <v>49</v>
      </c>
      <c r="B107" s="0" t="s">
        <v>38</v>
      </c>
      <c r="C107" s="1" t="n">
        <v>44.4444444444444</v>
      </c>
      <c r="D107" s="1" t="n">
        <v>22.2222222222222</v>
      </c>
      <c r="E107" s="1" t="n">
        <v>22.2222222222222</v>
      </c>
      <c r="F107" s="1" t="n">
        <v>11.1111111111111</v>
      </c>
      <c r="G107" s="2" t="n">
        <v>2</v>
      </c>
    </row>
    <row r="108" customFormat="false" ht="12.8" hidden="false" customHeight="false" outlineLevel="0" collapsed="false">
      <c r="A108" s="0" t="s">
        <v>50</v>
      </c>
      <c r="B108" s="0" t="s">
        <v>38</v>
      </c>
      <c r="C108" s="1" t="n">
        <v>55.5555555555556</v>
      </c>
      <c r="D108" s="1" t="n">
        <v>11.1111111111111</v>
      </c>
      <c r="E108" s="1" t="n">
        <v>16.6666666666667</v>
      </c>
      <c r="F108" s="1" t="n">
        <v>16.6666666666667</v>
      </c>
      <c r="G108" s="2" t="n">
        <v>5</v>
      </c>
    </row>
    <row r="109" customFormat="false" ht="12.8" hidden="false" customHeight="false" outlineLevel="0" collapsed="false">
      <c r="A109" s="0" t="s">
        <v>51</v>
      </c>
      <c r="B109" s="0" t="s">
        <v>38</v>
      </c>
      <c r="C109" s="1" t="n">
        <v>44.4444444444444</v>
      </c>
      <c r="D109" s="1" t="n">
        <v>11.1111111111111</v>
      </c>
      <c r="E109" s="1" t="n">
        <v>11.1111111111111</v>
      </c>
      <c r="F109" s="1" t="n">
        <v>33.3333333333333</v>
      </c>
      <c r="G109" s="2" t="n">
        <v>2</v>
      </c>
    </row>
    <row r="110" customFormat="false" ht="12.8" hidden="false" customHeight="false" outlineLevel="0" collapsed="false">
      <c r="A110" s="0" t="s">
        <v>52</v>
      </c>
      <c r="B110" s="0" t="s">
        <v>38</v>
      </c>
      <c r="C110" s="1" t="n">
        <v>52.1739130434783</v>
      </c>
      <c r="D110" s="1" t="n">
        <v>13.0434782608696</v>
      </c>
      <c r="E110" s="1" t="n">
        <v>8.69565217391304</v>
      </c>
      <c r="F110" s="1" t="n">
        <v>26.0869565217391</v>
      </c>
      <c r="G110" s="2" t="n">
        <v>3</v>
      </c>
    </row>
    <row r="111" customFormat="false" ht="12.8" hidden="false" customHeight="false" outlineLevel="0" collapsed="false">
      <c r="A111" s="0" t="s">
        <v>53</v>
      </c>
      <c r="B111" s="0" t="s">
        <v>38</v>
      </c>
      <c r="C111" s="1" t="n">
        <v>50</v>
      </c>
      <c r="D111" s="1" t="n">
        <v>12.5</v>
      </c>
      <c r="E111" s="1" t="n">
        <v>18.75</v>
      </c>
      <c r="F111" s="1" t="n">
        <v>18.75</v>
      </c>
      <c r="G111" s="2" t="n">
        <v>4</v>
      </c>
    </row>
    <row r="112" customFormat="false" ht="12.8" hidden="false" customHeight="false" outlineLevel="0" collapsed="false">
      <c r="A112" s="0" t="s">
        <v>54</v>
      </c>
      <c r="B112" s="0" t="s">
        <v>38</v>
      </c>
      <c r="C112" s="1" t="n">
        <v>48</v>
      </c>
      <c r="D112" s="1" t="n">
        <v>12</v>
      </c>
      <c r="E112" s="1" t="n">
        <v>16</v>
      </c>
      <c r="F112" s="1" t="n">
        <v>24</v>
      </c>
      <c r="G112" s="2" t="n">
        <v>3</v>
      </c>
    </row>
    <row r="113" customFormat="false" ht="12.8" hidden="false" customHeight="false" outlineLevel="0" collapsed="false">
      <c r="A113" s="0" t="s">
        <v>55</v>
      </c>
      <c r="B113" s="0" t="s">
        <v>38</v>
      </c>
      <c r="C113" s="1" t="n">
        <v>41.3793103448276</v>
      </c>
      <c r="D113" s="1" t="n">
        <v>10.3448275862069</v>
      </c>
      <c r="E113" s="1" t="n">
        <v>27.5862068965517</v>
      </c>
      <c r="F113" s="1" t="n">
        <v>20.6896551724138</v>
      </c>
      <c r="G113" s="2" t="n">
        <v>4</v>
      </c>
    </row>
    <row r="114" customFormat="false" ht="12.8" hidden="false" customHeight="false" outlineLevel="0" collapsed="false">
      <c r="A114" s="0" t="s">
        <v>56</v>
      </c>
      <c r="B114" s="0" t="s">
        <v>38</v>
      </c>
      <c r="C114" s="1" t="n">
        <v>59.2592592592593</v>
      </c>
      <c r="D114" s="1" t="n">
        <v>11.1111111111111</v>
      </c>
      <c r="E114" s="1" t="n">
        <v>7.40740740740741</v>
      </c>
      <c r="F114" s="1" t="n">
        <v>22.2222222222222</v>
      </c>
      <c r="G114" s="2" t="n">
        <v>4</v>
      </c>
    </row>
    <row r="115" customFormat="false" ht="12.8" hidden="false" customHeight="false" outlineLevel="0" collapsed="false">
      <c r="A115" s="0" t="s">
        <v>57</v>
      </c>
      <c r="B115" s="0" t="s">
        <v>38</v>
      </c>
      <c r="C115" s="1" t="n">
        <v>50</v>
      </c>
      <c r="D115" s="1" t="n">
        <v>16.6666666666667</v>
      </c>
      <c r="E115" s="1" t="n">
        <v>8.33333333333333</v>
      </c>
      <c r="F115" s="1" t="n">
        <v>25</v>
      </c>
      <c r="G115" s="2" t="n">
        <v>3</v>
      </c>
    </row>
    <row r="116" customFormat="false" ht="12.8" hidden="false" customHeight="false" outlineLevel="0" collapsed="false">
      <c r="A116" s="0" t="s">
        <v>58</v>
      </c>
      <c r="B116" s="0" t="s">
        <v>38</v>
      </c>
      <c r="C116" s="1" t="n">
        <v>40</v>
      </c>
      <c r="D116" s="1" t="n">
        <v>20</v>
      </c>
      <c r="E116" s="1" t="n">
        <v>10</v>
      </c>
      <c r="F116" s="1" t="n">
        <v>30</v>
      </c>
      <c r="G116" s="2" t="n">
        <v>2</v>
      </c>
    </row>
    <row r="117" customFormat="false" ht="12.8" hidden="false" customHeight="false" outlineLevel="0" collapsed="false">
      <c r="A117" s="0" t="s">
        <v>59</v>
      </c>
      <c r="B117" s="0" t="s">
        <v>38</v>
      </c>
      <c r="C117" s="1" t="n">
        <v>50</v>
      </c>
      <c r="D117" s="1" t="n">
        <v>6.25</v>
      </c>
      <c r="E117" s="1" t="n">
        <v>25</v>
      </c>
      <c r="F117" s="1" t="n">
        <v>18.75</v>
      </c>
      <c r="G117" s="2" t="n">
        <v>4</v>
      </c>
    </row>
    <row r="118" customFormat="false" ht="12.8" hidden="false" customHeight="false" outlineLevel="0" collapsed="false">
      <c r="A118" s="0" t="s">
        <v>60</v>
      </c>
      <c r="B118" s="0" t="s">
        <v>38</v>
      </c>
      <c r="C118" s="1" t="n">
        <v>50</v>
      </c>
      <c r="D118" s="1" t="n">
        <v>16.6666666666667</v>
      </c>
      <c r="E118" s="1" t="n">
        <v>8.33333333333333</v>
      </c>
      <c r="F118" s="1" t="n">
        <v>25</v>
      </c>
      <c r="G118" s="2" t="n">
        <v>3</v>
      </c>
    </row>
    <row r="119" customFormat="false" ht="12.8" hidden="false" customHeight="false" outlineLevel="0" collapsed="false">
      <c r="A119" s="0" t="s">
        <v>61</v>
      </c>
      <c r="B119" s="0" t="s">
        <v>38</v>
      </c>
      <c r="C119" s="1" t="n">
        <v>34.7826086956522</v>
      </c>
      <c r="D119" s="1" t="n">
        <v>13.0434782608696</v>
      </c>
      <c r="E119" s="1" t="n">
        <v>26.0869565217391</v>
      </c>
      <c r="F119" s="1" t="n">
        <v>26.0869565217391</v>
      </c>
      <c r="G119" s="2" t="n">
        <v>3</v>
      </c>
    </row>
    <row r="120" customFormat="false" ht="12.8" hidden="false" customHeight="false" outlineLevel="0" collapsed="false">
      <c r="A120" s="0" t="s">
        <v>62</v>
      </c>
      <c r="B120" s="0" t="s">
        <v>38</v>
      </c>
      <c r="C120" s="1" t="n">
        <v>51.6129032258065</v>
      </c>
      <c r="D120" s="1" t="n">
        <v>9.67741935483871</v>
      </c>
      <c r="E120" s="1" t="n">
        <v>19.3548387096774</v>
      </c>
      <c r="F120" s="1" t="n">
        <v>19.3548387096774</v>
      </c>
      <c r="G120" s="2" t="n">
        <v>4</v>
      </c>
    </row>
    <row r="121" customFormat="false" ht="12.8" hidden="false" customHeight="false" outlineLevel="0" collapsed="false">
      <c r="A121" s="0" t="s">
        <v>63</v>
      </c>
      <c r="B121" s="0" t="s">
        <v>38</v>
      </c>
      <c r="C121" s="1" t="n">
        <v>64</v>
      </c>
      <c r="D121" s="1" t="n">
        <v>4</v>
      </c>
      <c r="E121" s="1" t="n">
        <v>8</v>
      </c>
      <c r="F121" s="1" t="n">
        <v>24</v>
      </c>
      <c r="G121" s="2" t="n">
        <v>3</v>
      </c>
    </row>
    <row r="122" customFormat="false" ht="12.8" hidden="false" customHeight="false" outlineLevel="0" collapsed="false">
      <c r="A122" s="0" t="s">
        <v>64</v>
      </c>
      <c r="B122" s="0" t="s">
        <v>38</v>
      </c>
      <c r="C122" s="1" t="n">
        <v>53.3333333333333</v>
      </c>
      <c r="D122" s="1" t="n">
        <v>20</v>
      </c>
      <c r="E122" s="1" t="n">
        <v>13.3333333333333</v>
      </c>
      <c r="F122" s="1" t="n">
        <v>13.3333333333333</v>
      </c>
      <c r="G122" s="2" t="n">
        <v>2</v>
      </c>
    </row>
    <row r="123" customFormat="false" ht="12.8" hidden="false" customHeight="false" outlineLevel="0" collapsed="false">
      <c r="A123" s="0" t="s">
        <v>65</v>
      </c>
      <c r="B123" s="0" t="s">
        <v>38</v>
      </c>
      <c r="C123" s="1" t="n">
        <v>48</v>
      </c>
      <c r="D123" s="1" t="n">
        <v>20</v>
      </c>
      <c r="E123" s="1" t="n">
        <v>8</v>
      </c>
      <c r="F123" s="1" t="n">
        <v>24</v>
      </c>
      <c r="G123" s="2" t="n">
        <v>3</v>
      </c>
    </row>
    <row r="124" customFormat="false" ht="12.8" hidden="false" customHeight="false" outlineLevel="0" collapsed="false">
      <c r="A124" s="0" t="s">
        <v>66</v>
      </c>
      <c r="B124" s="0" t="s">
        <v>38</v>
      </c>
      <c r="C124" s="1" t="n">
        <v>42.1052631578947</v>
      </c>
      <c r="D124" s="1" t="n">
        <v>15.7894736842105</v>
      </c>
      <c r="E124" s="1" t="n">
        <v>10.5263157894737</v>
      </c>
      <c r="F124" s="1" t="n">
        <v>31.5789473684211</v>
      </c>
      <c r="G124" s="2" t="n">
        <v>2</v>
      </c>
    </row>
    <row r="125" customFormat="false" ht="12.8" hidden="false" customHeight="false" outlineLevel="0" collapsed="false">
      <c r="A125" s="0" t="s">
        <v>67</v>
      </c>
      <c r="B125" s="0" t="s">
        <v>38</v>
      </c>
      <c r="C125" s="1" t="n">
        <v>66.6666666666667</v>
      </c>
      <c r="D125" s="1" t="n">
        <v>6.66666666666667</v>
      </c>
      <c r="E125" s="1" t="n">
        <v>6.66666666666667</v>
      </c>
      <c r="F125" s="1" t="n">
        <v>20</v>
      </c>
      <c r="G125" s="2" t="n">
        <v>4</v>
      </c>
    </row>
    <row r="126" customFormat="false" ht="12.8" hidden="false" customHeight="false" outlineLevel="0" collapsed="false">
      <c r="A126" s="0" t="s">
        <v>68</v>
      </c>
      <c r="B126" s="0" t="s">
        <v>38</v>
      </c>
      <c r="C126" s="1" t="n">
        <v>42.8571428571429</v>
      </c>
      <c r="D126" s="1" t="n">
        <v>14.2857142857143</v>
      </c>
      <c r="E126" s="1" t="n">
        <v>21.4285714285714</v>
      </c>
      <c r="F126" s="1" t="n">
        <v>21.4285714285714</v>
      </c>
      <c r="G126" s="2" t="n">
        <v>3</v>
      </c>
    </row>
    <row r="127" customFormat="false" ht="12.8" hidden="false" customHeight="false" outlineLevel="0" collapsed="false">
      <c r="A127" s="0" t="s">
        <v>69</v>
      </c>
      <c r="B127" s="0" t="s">
        <v>38</v>
      </c>
      <c r="C127" s="1" t="n">
        <v>54.5454545454545</v>
      </c>
      <c r="D127" s="1" t="n">
        <v>9.09090909090909</v>
      </c>
      <c r="E127" s="1" t="n">
        <v>9.09090909090909</v>
      </c>
      <c r="F127" s="1" t="n">
        <v>27.2727272727273</v>
      </c>
      <c r="G127" s="2" t="n">
        <v>3</v>
      </c>
    </row>
    <row r="128" customFormat="false" ht="12.8" hidden="false" customHeight="false" outlineLevel="0" collapsed="false">
      <c r="A128" s="0" t="s">
        <v>70</v>
      </c>
      <c r="B128" s="0" t="s">
        <v>38</v>
      </c>
      <c r="C128" s="1" t="n">
        <v>28.5714285714286</v>
      </c>
      <c r="D128" s="1" t="n">
        <v>14.2857142857143</v>
      </c>
      <c r="E128" s="1" t="n">
        <v>14.2857142857143</v>
      </c>
      <c r="F128" s="1" t="n">
        <v>42.8571428571429</v>
      </c>
      <c r="G128" s="2" t="n">
        <v>2</v>
      </c>
    </row>
    <row r="129" customFormat="false" ht="12.8" hidden="false" customHeight="false" outlineLevel="0" collapsed="false">
      <c r="A129" s="0" t="s">
        <v>71</v>
      </c>
      <c r="B129" s="0" t="s">
        <v>38</v>
      </c>
      <c r="C129" s="1" t="n">
        <v>47.0588235294118</v>
      </c>
      <c r="D129" s="1" t="n">
        <v>11.7647058823529</v>
      </c>
      <c r="E129" s="1" t="n">
        <v>23.5294117647059</v>
      </c>
      <c r="F129" s="1" t="n">
        <v>17.6470588235294</v>
      </c>
      <c r="G129" s="2" t="n">
        <v>4</v>
      </c>
    </row>
    <row r="130" customFormat="false" ht="12.8" hidden="false" customHeight="false" outlineLevel="0" collapsed="false">
      <c r="A130" s="0" t="s">
        <v>72</v>
      </c>
      <c r="B130" s="0" t="s">
        <v>38</v>
      </c>
      <c r="C130" s="1" t="n">
        <v>29.6296296296296</v>
      </c>
      <c r="D130" s="1" t="n">
        <v>11.1111111111111</v>
      </c>
      <c r="E130" s="1" t="n">
        <v>37.037037037037</v>
      </c>
      <c r="F130" s="1" t="n">
        <v>22.2222222222222</v>
      </c>
      <c r="G130" s="2" t="n">
        <v>3</v>
      </c>
    </row>
    <row r="131" customFormat="false" ht="12.8" hidden="false" customHeight="false" outlineLevel="0" collapsed="false">
      <c r="A131" s="0" t="s">
        <v>73</v>
      </c>
      <c r="B131" s="0" t="s">
        <v>38</v>
      </c>
      <c r="C131" s="1" t="n">
        <v>54.5454545454545</v>
      </c>
      <c r="D131" s="1" t="n">
        <v>9.09090909090909</v>
      </c>
      <c r="E131" s="1" t="n">
        <v>9.09090909090909</v>
      </c>
      <c r="F131" s="1" t="n">
        <v>27.2727272727273</v>
      </c>
      <c r="G131" s="2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12.15"/>
    <col collapsed="false" customWidth="true" hidden="false" outlineLevel="0" max="3" min="3" style="0" width="11.03"/>
    <col collapsed="false" customWidth="true" hidden="false" outlineLevel="0" max="4" min="4" style="0" width="8.95"/>
    <col collapsed="false" customWidth="true" hidden="false" outlineLevel="0" max="5" min="5" style="0" width="11.17"/>
    <col collapsed="false" customWidth="true" hidden="false" outlineLevel="0" max="6" min="6" style="0" width="18.96"/>
    <col collapsed="false" customWidth="true" hidden="false" outlineLevel="0" max="7" min="7" style="0" width="11.45"/>
    <col collapsed="false" customWidth="true" hidden="false" outlineLevel="0" max="8" min="8" style="0" width="13.53"/>
    <col collapsed="false" customWidth="true" hidden="false" outlineLevel="0" max="16" min="16" style="0" width="11.01"/>
    <col collapsed="false" customWidth="true" hidden="false" outlineLevel="0" max="17" min="17" style="0" width="9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6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79</v>
      </c>
      <c r="P1" s="0" t="s">
        <v>74</v>
      </c>
      <c r="Q1" s="0" t="s">
        <v>75</v>
      </c>
      <c r="R1" s="0" t="s">
        <v>76</v>
      </c>
      <c r="S1" s="0" t="s">
        <v>77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3</v>
      </c>
      <c r="D2" s="0" t="n">
        <v>3</v>
      </c>
      <c r="E2" s="0" t="n">
        <v>1</v>
      </c>
      <c r="F2" s="0" t="n">
        <v>3</v>
      </c>
      <c r="G2" s="0" t="n">
        <v>0.495</v>
      </c>
      <c r="H2" s="0" t="n">
        <v>3</v>
      </c>
      <c r="K2" s="0" t="n">
        <f aca="false">C2*4</f>
        <v>12</v>
      </c>
      <c r="L2" s="0" t="n">
        <f aca="false">D2*1</f>
        <v>3</v>
      </c>
      <c r="M2" s="0" t="n">
        <f aca="false">E2*2</f>
        <v>2</v>
      </c>
      <c r="N2" s="0" t="n">
        <f aca="false">F2*2</f>
        <v>6</v>
      </c>
      <c r="O2" s="0" t="n">
        <f aca="false">(C2*4)+(D2*1)+(E2*2)+(F2*2)</f>
        <v>23</v>
      </c>
      <c r="P2" s="1" t="n">
        <f aca="false">(K2/O2)*100</f>
        <v>52.1739130434783</v>
      </c>
      <c r="Q2" s="1" t="n">
        <f aca="false">(L2/O2)*100</f>
        <v>13.0434782608696</v>
      </c>
      <c r="R2" s="1" t="n">
        <f aca="false">(M2/O2)*100</f>
        <v>8.69565217391304</v>
      </c>
      <c r="S2" s="1" t="n">
        <f aca="false">(N2/O2)*100</f>
        <v>26.0869565217391</v>
      </c>
    </row>
    <row r="3" customFormat="false" ht="12.8" hidden="false" customHeight="false" outlineLevel="0" collapsed="false">
      <c r="A3" s="0" t="s">
        <v>9</v>
      </c>
      <c r="B3" s="0" t="s">
        <v>8</v>
      </c>
      <c r="C3" s="0" t="n">
        <v>5</v>
      </c>
      <c r="D3" s="0" t="n">
        <v>4</v>
      </c>
      <c r="E3" s="0" t="n">
        <v>1</v>
      </c>
      <c r="F3" s="0" t="n">
        <v>3</v>
      </c>
      <c r="G3" s="0" t="n">
        <v>0.69</v>
      </c>
      <c r="H3" s="0" t="n">
        <v>4</v>
      </c>
      <c r="K3" s="0" t="n">
        <f aca="false">C3*4</f>
        <v>20</v>
      </c>
      <c r="L3" s="0" t="n">
        <f aca="false">D3*1</f>
        <v>4</v>
      </c>
      <c r="M3" s="0" t="n">
        <f aca="false">E3*2</f>
        <v>2</v>
      </c>
      <c r="N3" s="0" t="n">
        <f aca="false">F3*2</f>
        <v>6</v>
      </c>
      <c r="O3" s="0" t="n">
        <f aca="false">(C3*4)+(D3*1)+(E3*2)+(F3*2)</f>
        <v>32</v>
      </c>
      <c r="P3" s="1" t="n">
        <f aca="false">(K3/O3)*100</f>
        <v>62.5</v>
      </c>
      <c r="Q3" s="1" t="n">
        <f aca="false">(L3/O3)*100</f>
        <v>12.5</v>
      </c>
      <c r="R3" s="1" t="n">
        <f aca="false">(M3/O3)*100</f>
        <v>6.25</v>
      </c>
      <c r="S3" s="1" t="n">
        <f aca="false">(N3/O3)*100</f>
        <v>18.75</v>
      </c>
    </row>
    <row r="4" customFormat="false" ht="12.8" hidden="false" customHeight="false" outlineLevel="0" collapsed="false">
      <c r="A4" s="0" t="s">
        <v>10</v>
      </c>
      <c r="B4" s="0" t="s">
        <v>8</v>
      </c>
      <c r="C4" s="0" t="n">
        <v>1</v>
      </c>
      <c r="D4" s="0" t="n">
        <v>4</v>
      </c>
      <c r="E4" s="0" t="n">
        <v>2</v>
      </c>
      <c r="F4" s="0" t="n">
        <v>3</v>
      </c>
      <c r="G4" s="0" t="n">
        <v>0.336</v>
      </c>
      <c r="H4" s="0" t="n">
        <v>2</v>
      </c>
      <c r="K4" s="0" t="n">
        <f aca="false">C4*4</f>
        <v>4</v>
      </c>
      <c r="L4" s="0" t="n">
        <f aca="false">D4*1</f>
        <v>4</v>
      </c>
      <c r="M4" s="0" t="n">
        <f aca="false">E4*2</f>
        <v>4</v>
      </c>
      <c r="N4" s="0" t="n">
        <f aca="false">F4*2</f>
        <v>6</v>
      </c>
      <c r="O4" s="0" t="n">
        <f aca="false">(C4*4)+(D4*1)+(E4*2)+(F4*2)</f>
        <v>18</v>
      </c>
      <c r="P4" s="1" t="n">
        <f aca="false">(K4/O4)*100</f>
        <v>22.2222222222222</v>
      </c>
      <c r="Q4" s="1" t="n">
        <f aca="false">(L4/O4)*100</f>
        <v>22.2222222222222</v>
      </c>
      <c r="R4" s="1" t="n">
        <f aca="false">(M4/O4)*100</f>
        <v>22.2222222222222</v>
      </c>
      <c r="S4" s="1" t="n">
        <f aca="false">(N4/O4)*100</f>
        <v>33.3333333333333</v>
      </c>
    </row>
    <row r="5" customFormat="false" ht="12.8" hidden="false" customHeight="false" outlineLevel="0" collapsed="false">
      <c r="A5" s="0" t="s">
        <v>11</v>
      </c>
      <c r="B5" s="0" t="s">
        <v>8</v>
      </c>
      <c r="C5" s="0" t="n">
        <v>4</v>
      </c>
      <c r="D5" s="0" t="n">
        <v>3</v>
      </c>
      <c r="E5" s="0" t="n">
        <v>1</v>
      </c>
      <c r="F5" s="0" t="n">
        <v>3</v>
      </c>
      <c r="G5" s="0" t="n">
        <v>0.608</v>
      </c>
      <c r="H5" s="0" t="n">
        <v>4</v>
      </c>
      <c r="K5" s="0" t="n">
        <f aca="false">C5*4</f>
        <v>16</v>
      </c>
      <c r="L5" s="0" t="n">
        <f aca="false">D5*1</f>
        <v>3</v>
      </c>
      <c r="M5" s="0" t="n">
        <f aca="false">E5*2</f>
        <v>2</v>
      </c>
      <c r="N5" s="0" t="n">
        <f aca="false">F5*2</f>
        <v>6</v>
      </c>
      <c r="O5" s="0" t="n">
        <f aca="false">(C5*4)+(D5*1)+(E5*2)+(F5*2)</f>
        <v>27</v>
      </c>
      <c r="P5" s="1" t="n">
        <f aca="false">(K5/O5)*100</f>
        <v>59.2592592592593</v>
      </c>
      <c r="Q5" s="1" t="n">
        <f aca="false">(L5/O5)*100</f>
        <v>11.1111111111111</v>
      </c>
      <c r="R5" s="1" t="n">
        <f aca="false">(M5/O5)*100</f>
        <v>7.40740740740741</v>
      </c>
      <c r="S5" s="1" t="n">
        <f aca="false">(N5/O5)*100</f>
        <v>22.2222222222222</v>
      </c>
    </row>
    <row r="6" customFormat="false" ht="12.8" hidden="false" customHeight="false" outlineLevel="0" collapsed="false">
      <c r="A6" s="0" t="s">
        <v>12</v>
      </c>
      <c r="B6" s="0" t="s">
        <v>8</v>
      </c>
      <c r="C6" s="0" t="n">
        <v>2</v>
      </c>
      <c r="D6" s="0" t="n">
        <v>3</v>
      </c>
      <c r="E6" s="0" t="n">
        <v>3</v>
      </c>
      <c r="F6" s="0" t="n">
        <v>3</v>
      </c>
      <c r="G6" s="0" t="n">
        <v>0.433</v>
      </c>
      <c r="H6" s="0" t="n">
        <v>3</v>
      </c>
      <c r="K6" s="0" t="n">
        <f aca="false">C6*4</f>
        <v>8</v>
      </c>
      <c r="L6" s="0" t="n">
        <f aca="false">D6*1</f>
        <v>3</v>
      </c>
      <c r="M6" s="0" t="n">
        <f aca="false">E6*2</f>
        <v>6</v>
      </c>
      <c r="N6" s="0" t="n">
        <f aca="false">F6*2</f>
        <v>6</v>
      </c>
      <c r="O6" s="0" t="n">
        <f aca="false">(C6*4)+(D6*1)+(E6*2)+(F6*2)</f>
        <v>23</v>
      </c>
      <c r="P6" s="1" t="n">
        <f aca="false">(K6/O6)*100</f>
        <v>34.7826086956522</v>
      </c>
      <c r="Q6" s="1" t="n">
        <f aca="false">(L6/O6)*100</f>
        <v>13.0434782608696</v>
      </c>
      <c r="R6" s="1" t="n">
        <f aca="false">(M6/O6)*100</f>
        <v>26.0869565217391</v>
      </c>
      <c r="S6" s="1" t="n">
        <f aca="false">(N6/O6)*100</f>
        <v>26.0869565217391</v>
      </c>
    </row>
    <row r="7" customFormat="false" ht="12.8" hidden="false" customHeight="false" outlineLevel="0" collapsed="false">
      <c r="A7" s="0" t="s">
        <v>13</v>
      </c>
      <c r="B7" s="0" t="s">
        <v>8</v>
      </c>
      <c r="C7" s="0" t="n">
        <v>5</v>
      </c>
      <c r="D7" s="0" t="n">
        <v>2</v>
      </c>
      <c r="E7" s="0" t="n">
        <v>1</v>
      </c>
      <c r="F7" s="0" t="n">
        <v>3</v>
      </c>
      <c r="G7" s="0" t="n">
        <v>0.667</v>
      </c>
      <c r="H7" s="0" t="n">
        <v>4</v>
      </c>
      <c r="K7" s="0" t="n">
        <f aca="false">C7*4</f>
        <v>20</v>
      </c>
      <c r="L7" s="0" t="n">
        <f aca="false">D7*1</f>
        <v>2</v>
      </c>
      <c r="M7" s="0" t="n">
        <f aca="false">E7*2</f>
        <v>2</v>
      </c>
      <c r="N7" s="0" t="n">
        <f aca="false">F7*2</f>
        <v>6</v>
      </c>
      <c r="O7" s="0" t="n">
        <f aca="false">(C7*4)+(D7*1)+(E7*2)+(F7*2)</f>
        <v>30</v>
      </c>
      <c r="P7" s="1" t="n">
        <f aca="false">(K7/O7)*100</f>
        <v>66.6666666666667</v>
      </c>
      <c r="Q7" s="1" t="n">
        <f aca="false">(L7/O7)*100</f>
        <v>6.66666666666667</v>
      </c>
      <c r="R7" s="1" t="n">
        <f aca="false">(M7/O7)*100</f>
        <v>6.66666666666667</v>
      </c>
      <c r="S7" s="1" t="n">
        <f aca="false">(N7/O7)*100</f>
        <v>20</v>
      </c>
    </row>
    <row r="8" customFormat="false" ht="12.8" hidden="false" customHeight="false" outlineLevel="0" collapsed="false">
      <c r="A8" s="0" t="s">
        <v>14</v>
      </c>
      <c r="B8" s="0" t="s">
        <v>8</v>
      </c>
      <c r="C8" s="0" t="n">
        <v>4</v>
      </c>
      <c r="D8" s="0" t="n">
        <v>5</v>
      </c>
      <c r="E8" s="0" t="n">
        <v>1</v>
      </c>
      <c r="F8" s="0" t="n">
        <v>3</v>
      </c>
      <c r="G8" s="0" t="n">
        <v>0.626</v>
      </c>
      <c r="H8" s="0" t="n">
        <v>4</v>
      </c>
      <c r="K8" s="0" t="n">
        <f aca="false">C8*4</f>
        <v>16</v>
      </c>
      <c r="L8" s="0" t="n">
        <f aca="false">D8*1</f>
        <v>5</v>
      </c>
      <c r="M8" s="0" t="n">
        <f aca="false">E8*2</f>
        <v>2</v>
      </c>
      <c r="N8" s="0" t="n">
        <f aca="false">F8*2</f>
        <v>6</v>
      </c>
      <c r="O8" s="0" t="n">
        <f aca="false">(C8*4)+(D8*1)+(E8*2)+(F8*2)</f>
        <v>29</v>
      </c>
      <c r="P8" s="1" t="n">
        <f aca="false">(K8/O8)*100</f>
        <v>55.1724137931034</v>
      </c>
      <c r="Q8" s="1" t="n">
        <f aca="false">(L8/O8)*100</f>
        <v>17.2413793103448</v>
      </c>
      <c r="R8" s="1" t="n">
        <f aca="false">(M8/O8)*100</f>
        <v>6.89655172413793</v>
      </c>
      <c r="S8" s="1" t="n">
        <f aca="false">(N8/O8)*100</f>
        <v>20.6896551724138</v>
      </c>
    </row>
    <row r="9" customFormat="false" ht="12.8" hidden="false" customHeight="false" outlineLevel="0" collapsed="false">
      <c r="A9" s="0" t="s">
        <v>15</v>
      </c>
      <c r="B9" s="0" t="s">
        <v>8</v>
      </c>
      <c r="C9" s="0" t="n">
        <v>2</v>
      </c>
      <c r="D9" s="0" t="n">
        <v>2</v>
      </c>
      <c r="E9" s="0" t="n">
        <v>1</v>
      </c>
      <c r="F9" s="0" t="n">
        <v>3</v>
      </c>
      <c r="G9" s="0" t="n">
        <v>0.374</v>
      </c>
      <c r="H9" s="0" t="n">
        <v>2</v>
      </c>
      <c r="K9" s="0" t="n">
        <f aca="false">C9*4</f>
        <v>8</v>
      </c>
      <c r="L9" s="0" t="n">
        <f aca="false">D9*1</f>
        <v>2</v>
      </c>
      <c r="M9" s="0" t="n">
        <f aca="false">E9*2</f>
        <v>2</v>
      </c>
      <c r="N9" s="0" t="n">
        <f aca="false">F9*2</f>
        <v>6</v>
      </c>
      <c r="O9" s="0" t="n">
        <f aca="false">(C9*4)+(D9*1)+(E9*2)+(F9*2)</f>
        <v>18</v>
      </c>
      <c r="P9" s="1" t="n">
        <f aca="false">(K9/O9)*100</f>
        <v>44.4444444444444</v>
      </c>
      <c r="Q9" s="1" t="n">
        <f aca="false">(L9/O9)*100</f>
        <v>11.1111111111111</v>
      </c>
      <c r="R9" s="1" t="n">
        <f aca="false">(M9/O9)*100</f>
        <v>11.1111111111111</v>
      </c>
      <c r="S9" s="1" t="n">
        <f aca="false">(N9/O9)*100</f>
        <v>33.3333333333333</v>
      </c>
    </row>
    <row r="10" customFormat="false" ht="12.8" hidden="false" customHeight="false" outlineLevel="0" collapsed="false">
      <c r="A10" s="0" t="s">
        <v>16</v>
      </c>
      <c r="B10" s="0" t="s">
        <v>8</v>
      </c>
      <c r="C10" s="0" t="n">
        <v>3</v>
      </c>
      <c r="D10" s="0" t="n">
        <v>3</v>
      </c>
      <c r="E10" s="0" t="n">
        <v>2</v>
      </c>
      <c r="F10" s="0" t="n">
        <v>3</v>
      </c>
      <c r="G10" s="0" t="n">
        <v>0.528</v>
      </c>
      <c r="H10" s="0" t="n">
        <v>3</v>
      </c>
      <c r="K10" s="0" t="n">
        <f aca="false">C10*4</f>
        <v>12</v>
      </c>
      <c r="L10" s="0" t="n">
        <f aca="false">D10*1</f>
        <v>3</v>
      </c>
      <c r="M10" s="0" t="n">
        <f aca="false">E10*2</f>
        <v>4</v>
      </c>
      <c r="N10" s="0" t="n">
        <f aca="false">F10*2</f>
        <v>6</v>
      </c>
      <c r="O10" s="0" t="n">
        <f aca="false">(C10*4)+(D10*1)+(E10*2)+(F10*2)</f>
        <v>25</v>
      </c>
      <c r="P10" s="1" t="n">
        <f aca="false">(K10/O10)*100</f>
        <v>48</v>
      </c>
      <c r="Q10" s="1" t="n">
        <f aca="false">(L10/O10)*100</f>
        <v>12</v>
      </c>
      <c r="R10" s="1" t="n">
        <f aca="false">(M10/O10)*100</f>
        <v>16</v>
      </c>
      <c r="S10" s="1" t="n">
        <f aca="false">(N10/O10)*100</f>
        <v>24</v>
      </c>
    </row>
    <row r="11" customFormat="false" ht="12.8" hidden="false" customHeight="false" outlineLevel="0" collapsed="false">
      <c r="A11" s="0" t="s">
        <v>17</v>
      </c>
      <c r="B11" s="0" t="s">
        <v>8</v>
      </c>
      <c r="C11" s="0" t="n">
        <v>2</v>
      </c>
      <c r="D11" s="0" t="n">
        <v>2</v>
      </c>
      <c r="E11" s="0" t="n">
        <v>1</v>
      </c>
      <c r="F11" s="0" t="n">
        <v>3</v>
      </c>
      <c r="G11" s="0" t="n">
        <v>0.374</v>
      </c>
      <c r="H11" s="0" t="n">
        <v>2</v>
      </c>
      <c r="K11" s="0" t="n">
        <f aca="false">C11*4</f>
        <v>8</v>
      </c>
      <c r="L11" s="0" t="n">
        <f aca="false">D11*1</f>
        <v>2</v>
      </c>
      <c r="M11" s="0" t="n">
        <f aca="false">E11*2</f>
        <v>2</v>
      </c>
      <c r="N11" s="0" t="n">
        <f aca="false">F11*2</f>
        <v>6</v>
      </c>
      <c r="O11" s="0" t="n">
        <f aca="false">(C11*4)+(D11*1)+(E11*2)+(F11*2)</f>
        <v>18</v>
      </c>
      <c r="P11" s="1" t="n">
        <f aca="false">(K11/O11)*100</f>
        <v>44.4444444444444</v>
      </c>
      <c r="Q11" s="1" t="n">
        <f aca="false">(L11/O11)*100</f>
        <v>11.1111111111111</v>
      </c>
      <c r="R11" s="1" t="n">
        <f aca="false">(M11/O11)*100</f>
        <v>11.1111111111111</v>
      </c>
      <c r="S11" s="1" t="n">
        <f aca="false">(N11/O11)*100</f>
        <v>33.3333333333333</v>
      </c>
    </row>
    <row r="12" customFormat="false" ht="12.8" hidden="false" customHeight="false" outlineLevel="0" collapsed="false">
      <c r="A12" s="0" t="s">
        <v>18</v>
      </c>
      <c r="B12" s="0" t="s">
        <v>8</v>
      </c>
      <c r="C12" s="0" t="n">
        <v>3</v>
      </c>
      <c r="D12" s="0" t="n">
        <v>5</v>
      </c>
      <c r="E12" s="0" t="n">
        <v>1</v>
      </c>
      <c r="F12" s="0" t="n">
        <v>3</v>
      </c>
      <c r="G12" s="0" t="n">
        <v>0.515</v>
      </c>
      <c r="H12" s="0" t="n">
        <v>3</v>
      </c>
      <c r="K12" s="0" t="n">
        <f aca="false">C12*4</f>
        <v>12</v>
      </c>
      <c r="L12" s="0" t="n">
        <f aca="false">D12*1</f>
        <v>5</v>
      </c>
      <c r="M12" s="0" t="n">
        <f aca="false">E12*2</f>
        <v>2</v>
      </c>
      <c r="N12" s="0" t="n">
        <f aca="false">F12*2</f>
        <v>6</v>
      </c>
      <c r="O12" s="0" t="n">
        <f aca="false">(C12*4)+(D12*1)+(E12*2)+(F12*2)</f>
        <v>25</v>
      </c>
      <c r="P12" s="1" t="n">
        <f aca="false">(K12/O12)*100</f>
        <v>48</v>
      </c>
      <c r="Q12" s="1" t="n">
        <f aca="false">(L12/O12)*100</f>
        <v>20</v>
      </c>
      <c r="R12" s="1" t="n">
        <f aca="false">(M12/O12)*100</f>
        <v>8</v>
      </c>
      <c r="S12" s="1" t="n">
        <f aca="false">(N12/O12)*100</f>
        <v>24</v>
      </c>
    </row>
    <row r="13" customFormat="false" ht="12.8" hidden="false" customHeight="false" outlineLevel="0" collapsed="false">
      <c r="A13" s="0" t="s">
        <v>19</v>
      </c>
      <c r="B13" s="0" t="s">
        <v>8</v>
      </c>
      <c r="C13" s="0" t="n">
        <v>2</v>
      </c>
      <c r="D13" s="0" t="n">
        <v>3</v>
      </c>
      <c r="E13" s="0" t="n">
        <v>1</v>
      </c>
      <c r="F13" s="0" t="n">
        <v>3</v>
      </c>
      <c r="G13" s="0" t="n">
        <v>0.381</v>
      </c>
      <c r="H13" s="0" t="n">
        <v>2</v>
      </c>
      <c r="K13" s="0" t="n">
        <f aca="false">C13*4</f>
        <v>8</v>
      </c>
      <c r="L13" s="0" t="n">
        <f aca="false">D13*1</f>
        <v>3</v>
      </c>
      <c r="M13" s="0" t="n">
        <f aca="false">E13*2</f>
        <v>2</v>
      </c>
      <c r="N13" s="0" t="n">
        <f aca="false">F13*2</f>
        <v>6</v>
      </c>
      <c r="O13" s="0" t="n">
        <f aca="false">(C13*4)+(D13*1)+(E13*2)+(F13*2)</f>
        <v>19</v>
      </c>
      <c r="P13" s="1" t="n">
        <f aca="false">(K13/O13)*100</f>
        <v>42.1052631578947</v>
      </c>
      <c r="Q13" s="1" t="n">
        <f aca="false">(L13/O13)*100</f>
        <v>15.7894736842105</v>
      </c>
      <c r="R13" s="1" t="n">
        <f aca="false">(M13/O13)*100</f>
        <v>10.5263157894737</v>
      </c>
      <c r="S13" s="1" t="n">
        <f aca="false">(N13/O13)*100</f>
        <v>31.5789473684211</v>
      </c>
    </row>
    <row r="14" customFormat="false" ht="12.8" hidden="false" customHeight="false" outlineLevel="0" collapsed="false">
      <c r="A14" s="0" t="s">
        <v>20</v>
      </c>
      <c r="B14" s="0" t="s">
        <v>8</v>
      </c>
      <c r="C14" s="0" t="n">
        <v>3</v>
      </c>
      <c r="D14" s="0" t="n">
        <v>4</v>
      </c>
      <c r="E14" s="0" t="n">
        <v>5</v>
      </c>
      <c r="F14" s="0" t="n">
        <v>3</v>
      </c>
      <c r="G14" s="0" t="n">
        <v>0.635</v>
      </c>
      <c r="H14" s="0" t="n">
        <v>4</v>
      </c>
      <c r="K14" s="0" t="n">
        <f aca="false">C14*4</f>
        <v>12</v>
      </c>
      <c r="L14" s="0" t="n">
        <f aca="false">D14*1</f>
        <v>4</v>
      </c>
      <c r="M14" s="0" t="n">
        <f aca="false">E14*2</f>
        <v>10</v>
      </c>
      <c r="N14" s="0" t="n">
        <f aca="false">F14*2</f>
        <v>6</v>
      </c>
      <c r="O14" s="0" t="n">
        <f aca="false">(C14*4)+(D14*1)+(E14*2)+(F14*2)</f>
        <v>32</v>
      </c>
      <c r="P14" s="1" t="n">
        <f aca="false">(K14/O14)*100</f>
        <v>37.5</v>
      </c>
      <c r="Q14" s="1" t="n">
        <f aca="false">(L14/O14)*100</f>
        <v>12.5</v>
      </c>
      <c r="R14" s="1" t="n">
        <f aca="false">(M14/O14)*100</f>
        <v>31.25</v>
      </c>
      <c r="S14" s="1" t="n">
        <f aca="false">(N14/O14)*100</f>
        <v>18.75</v>
      </c>
    </row>
    <row r="15" customFormat="false" ht="12.8" hidden="false" customHeight="false" outlineLevel="0" collapsed="false">
      <c r="A15" s="0" t="s">
        <v>21</v>
      </c>
      <c r="B15" s="0" t="s">
        <v>8</v>
      </c>
      <c r="C15" s="0" t="n">
        <v>3</v>
      </c>
      <c r="D15" s="0" t="n">
        <v>2</v>
      </c>
      <c r="E15" s="0" t="n">
        <v>1</v>
      </c>
      <c r="F15" s="0" t="n">
        <v>3</v>
      </c>
      <c r="G15" s="0" t="n">
        <v>0.485</v>
      </c>
      <c r="H15" s="0" t="n">
        <v>3</v>
      </c>
      <c r="K15" s="0" t="n">
        <f aca="false">C15*4</f>
        <v>12</v>
      </c>
      <c r="L15" s="0" t="n">
        <f aca="false">D15*1</f>
        <v>2</v>
      </c>
      <c r="M15" s="0" t="n">
        <f aca="false">E15*2</f>
        <v>2</v>
      </c>
      <c r="N15" s="0" t="n">
        <f aca="false">F15*2</f>
        <v>6</v>
      </c>
      <c r="O15" s="0" t="n">
        <f aca="false">(C15*4)+(D15*1)+(E15*2)+(F15*2)</f>
        <v>22</v>
      </c>
      <c r="P15" s="1" t="n">
        <f aca="false">(K15/O15)*100</f>
        <v>54.5454545454545</v>
      </c>
      <c r="Q15" s="1" t="n">
        <f aca="false">(L15/O15)*100</f>
        <v>9.09090909090909</v>
      </c>
      <c r="R15" s="1" t="n">
        <f aca="false">(M15/O15)*100</f>
        <v>9.09090909090909</v>
      </c>
      <c r="S15" s="1" t="n">
        <f aca="false">(N15/O15)*100</f>
        <v>27.2727272727273</v>
      </c>
    </row>
    <row r="16" customFormat="false" ht="12.8" hidden="false" customHeight="false" outlineLevel="0" collapsed="false">
      <c r="A16" s="0" t="s">
        <v>22</v>
      </c>
      <c r="B16" s="0" t="s">
        <v>8</v>
      </c>
      <c r="C16" s="0" t="n">
        <v>4</v>
      </c>
      <c r="D16" s="0" t="n">
        <v>3</v>
      </c>
      <c r="E16" s="0" t="n">
        <v>5</v>
      </c>
      <c r="F16" s="0" t="n">
        <v>3</v>
      </c>
      <c r="G16" s="0" t="n">
        <v>0.775</v>
      </c>
      <c r="H16" s="0" t="n">
        <v>4</v>
      </c>
      <c r="K16" s="0" t="n">
        <f aca="false">C16*4</f>
        <v>16</v>
      </c>
      <c r="L16" s="0" t="n">
        <f aca="false">D16*1</f>
        <v>3</v>
      </c>
      <c r="M16" s="0" t="n">
        <f aca="false">E16*2</f>
        <v>10</v>
      </c>
      <c r="N16" s="0" t="n">
        <f aca="false">F16*2</f>
        <v>6</v>
      </c>
      <c r="O16" s="0" t="n">
        <f aca="false">(C16*4)+(D16*1)+(E16*2)+(F16*2)</f>
        <v>35</v>
      </c>
      <c r="P16" s="1" t="n">
        <f aca="false">(K16/O16)*100</f>
        <v>45.7142857142857</v>
      </c>
      <c r="Q16" s="1" t="n">
        <f aca="false">(L16/O16)*100</f>
        <v>8.57142857142857</v>
      </c>
      <c r="R16" s="1" t="n">
        <f aca="false">(M16/O16)*100</f>
        <v>28.5714285714286</v>
      </c>
      <c r="S16" s="1" t="n">
        <f aca="false">(N16/O16)*100</f>
        <v>17.1428571428571</v>
      </c>
    </row>
    <row r="17" customFormat="false" ht="12.8" hidden="false" customHeight="false" outlineLevel="0" collapsed="false">
      <c r="A17" s="0" t="s">
        <v>23</v>
      </c>
      <c r="B17" s="0" t="s">
        <v>8</v>
      </c>
      <c r="C17" s="0" t="n">
        <v>3</v>
      </c>
      <c r="D17" s="0" t="n">
        <v>2</v>
      </c>
      <c r="E17" s="0" t="n">
        <v>1</v>
      </c>
      <c r="F17" s="0" t="n">
        <v>3</v>
      </c>
      <c r="G17" s="0" t="n">
        <v>0.485</v>
      </c>
      <c r="H17" s="0" t="n">
        <v>3</v>
      </c>
      <c r="K17" s="0" t="n">
        <f aca="false">C17*4</f>
        <v>12</v>
      </c>
      <c r="L17" s="0" t="n">
        <f aca="false">D17*1</f>
        <v>2</v>
      </c>
      <c r="M17" s="0" t="n">
        <f aca="false">E17*2</f>
        <v>2</v>
      </c>
      <c r="N17" s="0" t="n">
        <f aca="false">F17*2</f>
        <v>6</v>
      </c>
      <c r="O17" s="0" t="n">
        <f aca="false">(C17*4)+(D17*1)+(E17*2)+(F17*2)</f>
        <v>22</v>
      </c>
      <c r="P17" s="1" t="n">
        <f aca="false">(K17/O17)*100</f>
        <v>54.5454545454545</v>
      </c>
      <c r="Q17" s="1" t="n">
        <f aca="false">(L17/O17)*100</f>
        <v>9.09090909090909</v>
      </c>
      <c r="R17" s="1" t="n">
        <f aca="false">(M17/O17)*100</f>
        <v>9.09090909090909</v>
      </c>
      <c r="S17" s="1" t="n">
        <f aca="false">(N17/O17)*100</f>
        <v>27.2727272727273</v>
      </c>
    </row>
    <row r="18" customFormat="false" ht="12.8" hidden="false" customHeight="false" outlineLevel="0" collapsed="false">
      <c r="A18" s="0" t="s">
        <v>24</v>
      </c>
      <c r="B18" s="0" t="s">
        <v>8</v>
      </c>
      <c r="C18" s="0" t="n">
        <v>2</v>
      </c>
      <c r="D18" s="0" t="n">
        <v>3</v>
      </c>
      <c r="E18" s="0" t="n">
        <v>1</v>
      </c>
      <c r="F18" s="0" t="n">
        <v>1</v>
      </c>
      <c r="G18" s="0" t="n">
        <v>0.202</v>
      </c>
      <c r="H18" s="0" t="n">
        <v>2</v>
      </c>
      <c r="K18" s="0" t="n">
        <f aca="false">C18*4</f>
        <v>8</v>
      </c>
      <c r="L18" s="0" t="n">
        <f aca="false">D18*1</f>
        <v>3</v>
      </c>
      <c r="M18" s="0" t="n">
        <f aca="false">E18*2</f>
        <v>2</v>
      </c>
      <c r="N18" s="0" t="n">
        <f aca="false">F18*2</f>
        <v>2</v>
      </c>
      <c r="O18" s="0" t="n">
        <f aca="false">(C18*4)+(D18*1)+(E18*2)+(F18*2)</f>
        <v>15</v>
      </c>
      <c r="P18" s="1" t="n">
        <f aca="false">(K18/O18)*100</f>
        <v>53.3333333333333</v>
      </c>
      <c r="Q18" s="1" t="n">
        <f aca="false">(L18/O18)*100</f>
        <v>20</v>
      </c>
      <c r="R18" s="1" t="n">
        <f aca="false">(M18/O18)*100</f>
        <v>13.3333333333333</v>
      </c>
      <c r="S18" s="1" t="n">
        <f aca="false">(N18/O18)*100</f>
        <v>13.3333333333333</v>
      </c>
    </row>
    <row r="19" customFormat="false" ht="12.8" hidden="false" customHeight="false" outlineLevel="0" collapsed="false">
      <c r="A19" s="0" t="s">
        <v>25</v>
      </c>
      <c r="B19" s="0" t="s">
        <v>8</v>
      </c>
      <c r="C19" s="0" t="n">
        <v>3</v>
      </c>
      <c r="D19" s="0" t="n">
        <v>4</v>
      </c>
      <c r="E19" s="0" t="n">
        <v>4</v>
      </c>
      <c r="F19" s="0" t="n">
        <v>3</v>
      </c>
      <c r="G19" s="0" t="n">
        <v>0.61</v>
      </c>
      <c r="H19" s="0" t="n">
        <v>4</v>
      </c>
      <c r="K19" s="0" t="n">
        <f aca="false">C19*4</f>
        <v>12</v>
      </c>
      <c r="L19" s="0" t="n">
        <f aca="false">D19*1</f>
        <v>4</v>
      </c>
      <c r="M19" s="0" t="n">
        <f aca="false">E19*2</f>
        <v>8</v>
      </c>
      <c r="N19" s="0" t="n">
        <f aca="false">F19*2</f>
        <v>6</v>
      </c>
      <c r="O19" s="0" t="n">
        <f aca="false">(C19*4)+(D19*1)+(E19*2)+(F19*2)</f>
        <v>30</v>
      </c>
      <c r="P19" s="1" t="n">
        <f aca="false">(K19/O19)*100</f>
        <v>40</v>
      </c>
      <c r="Q19" s="1" t="n">
        <f aca="false">(L19/O19)*100</f>
        <v>13.3333333333333</v>
      </c>
      <c r="R19" s="1" t="n">
        <f aca="false">(M19/O19)*100</f>
        <v>26.6666666666667</v>
      </c>
      <c r="S19" s="1" t="n">
        <f aca="false">(N19/O19)*100</f>
        <v>20</v>
      </c>
    </row>
    <row r="20" customFormat="false" ht="12.8" hidden="false" customHeight="false" outlineLevel="0" collapsed="false">
      <c r="A20" s="0" t="s">
        <v>26</v>
      </c>
      <c r="B20" s="0" t="s">
        <v>8</v>
      </c>
      <c r="C20" s="0" t="n">
        <v>2</v>
      </c>
      <c r="D20" s="0" t="n">
        <v>4</v>
      </c>
      <c r="E20" s="0" t="n">
        <v>1</v>
      </c>
      <c r="F20" s="0" t="n">
        <v>3</v>
      </c>
      <c r="G20" s="0" t="n">
        <v>0.392</v>
      </c>
      <c r="H20" s="0" t="n">
        <v>2</v>
      </c>
      <c r="K20" s="0" t="n">
        <f aca="false">C20*4</f>
        <v>8</v>
      </c>
      <c r="L20" s="0" t="n">
        <f aca="false">D20*1</f>
        <v>4</v>
      </c>
      <c r="M20" s="0" t="n">
        <f aca="false">E20*2</f>
        <v>2</v>
      </c>
      <c r="N20" s="0" t="n">
        <f aca="false">F20*2</f>
        <v>6</v>
      </c>
      <c r="O20" s="0" t="n">
        <f aca="false">(C20*4)+(D20*1)+(E20*2)+(F20*2)</f>
        <v>20</v>
      </c>
      <c r="P20" s="1" t="n">
        <f aca="false">(K20/O20)*100</f>
        <v>40</v>
      </c>
      <c r="Q20" s="1" t="n">
        <f aca="false">(L20/O20)*100</f>
        <v>20</v>
      </c>
      <c r="R20" s="1" t="n">
        <f aca="false">(M20/O20)*100</f>
        <v>10</v>
      </c>
      <c r="S20" s="1" t="n">
        <f aca="false">(N20/O20)*100</f>
        <v>30</v>
      </c>
    </row>
    <row r="21" customFormat="false" ht="12.8" hidden="false" customHeight="false" outlineLevel="0" collapsed="false">
      <c r="A21" s="0" t="s">
        <v>27</v>
      </c>
      <c r="B21" s="0" t="s">
        <v>8</v>
      </c>
      <c r="C21" s="0" t="n">
        <v>3</v>
      </c>
      <c r="D21" s="0" t="n">
        <v>3</v>
      </c>
      <c r="E21" s="0" t="n">
        <v>1</v>
      </c>
      <c r="F21" s="0" t="n">
        <v>3</v>
      </c>
      <c r="G21" s="0" t="n">
        <v>0.495</v>
      </c>
      <c r="H21" s="0" t="n">
        <v>3</v>
      </c>
      <c r="K21" s="0" t="n">
        <f aca="false">C21*4</f>
        <v>12</v>
      </c>
      <c r="L21" s="0" t="n">
        <f aca="false">D21*1</f>
        <v>3</v>
      </c>
      <c r="M21" s="0" t="n">
        <f aca="false">E21*2</f>
        <v>2</v>
      </c>
      <c r="N21" s="0" t="n">
        <f aca="false">F21*2</f>
        <v>6</v>
      </c>
      <c r="O21" s="0" t="n">
        <f aca="false">(C21*4)+(D21*1)+(E21*2)+(F21*2)</f>
        <v>23</v>
      </c>
      <c r="P21" s="1" t="n">
        <f aca="false">(K21/O21)*100</f>
        <v>52.1739130434783</v>
      </c>
      <c r="Q21" s="1" t="n">
        <f aca="false">(L21/O21)*100</f>
        <v>13.0434782608696</v>
      </c>
      <c r="R21" s="1" t="n">
        <f aca="false">(M21/O21)*100</f>
        <v>8.69565217391304</v>
      </c>
      <c r="S21" s="1" t="n">
        <f aca="false">(N21/O21)*100</f>
        <v>26.0869565217391</v>
      </c>
    </row>
    <row r="22" customFormat="false" ht="12.8" hidden="false" customHeight="false" outlineLevel="0" collapsed="false">
      <c r="A22" s="0" t="s">
        <v>28</v>
      </c>
      <c r="B22" s="0" t="s">
        <v>8</v>
      </c>
      <c r="C22" s="0" t="n">
        <v>4</v>
      </c>
      <c r="D22" s="0" t="n">
        <v>2</v>
      </c>
      <c r="E22" s="0" t="n">
        <v>1</v>
      </c>
      <c r="F22" s="0" t="n">
        <v>3</v>
      </c>
      <c r="G22" s="0" t="n">
        <v>0.595</v>
      </c>
      <c r="H22" s="0" t="n">
        <v>3</v>
      </c>
      <c r="K22" s="0" t="n">
        <f aca="false">C22*4</f>
        <v>16</v>
      </c>
      <c r="L22" s="0" t="n">
        <f aca="false">D22*1</f>
        <v>2</v>
      </c>
      <c r="M22" s="0" t="n">
        <f aca="false">E22*2</f>
        <v>2</v>
      </c>
      <c r="N22" s="0" t="n">
        <f aca="false">F22*2</f>
        <v>6</v>
      </c>
      <c r="O22" s="0" t="n">
        <f aca="false">(C22*4)+(D22*1)+(E22*2)+(F22*2)</f>
        <v>26</v>
      </c>
      <c r="P22" s="1" t="n">
        <f aca="false">(K22/O22)*100</f>
        <v>61.5384615384615</v>
      </c>
      <c r="Q22" s="1" t="n">
        <f aca="false">(L22/O22)*100</f>
        <v>7.69230769230769</v>
      </c>
      <c r="R22" s="1" t="n">
        <f aca="false">(M22/O22)*100</f>
        <v>7.69230769230769</v>
      </c>
      <c r="S22" s="1" t="n">
        <f aca="false">(N22/O22)*100</f>
        <v>23.0769230769231</v>
      </c>
    </row>
    <row r="23" customFormat="false" ht="12.8" hidden="false" customHeight="false" outlineLevel="0" collapsed="false">
      <c r="A23" s="0" t="s">
        <v>29</v>
      </c>
      <c r="B23" s="0" t="s">
        <v>8</v>
      </c>
      <c r="C23" s="0" t="n">
        <v>2</v>
      </c>
      <c r="D23" s="0" t="n">
        <v>5</v>
      </c>
      <c r="E23" s="0" t="n">
        <v>1</v>
      </c>
      <c r="F23" s="0" t="n">
        <v>1</v>
      </c>
      <c r="G23" s="0" t="n">
        <v>0.255</v>
      </c>
      <c r="H23" s="0" t="n">
        <v>2</v>
      </c>
      <c r="K23" s="0" t="n">
        <f aca="false">C23*4</f>
        <v>8</v>
      </c>
      <c r="L23" s="0" t="n">
        <f aca="false">D23*1</f>
        <v>5</v>
      </c>
      <c r="M23" s="0" t="n">
        <f aca="false">E23*2</f>
        <v>2</v>
      </c>
      <c r="N23" s="0" t="n">
        <f aca="false">F23*2</f>
        <v>2</v>
      </c>
      <c r="O23" s="0" t="n">
        <f aca="false">(C23*4)+(D23*1)+(E23*2)+(F23*2)</f>
        <v>17</v>
      </c>
      <c r="P23" s="1" t="n">
        <f aca="false">(K23/O23)*100</f>
        <v>47.0588235294118</v>
      </c>
      <c r="Q23" s="1" t="n">
        <f aca="false">(L23/O23)*100</f>
        <v>29.4117647058824</v>
      </c>
      <c r="R23" s="1" t="n">
        <f aca="false">(M23/O23)*100</f>
        <v>11.7647058823529</v>
      </c>
      <c r="S23" s="1" t="n">
        <f aca="false">(N23/O23)*100</f>
        <v>11.7647058823529</v>
      </c>
    </row>
    <row r="24" customFormat="false" ht="12.8" hidden="false" customHeight="false" outlineLevel="0" collapsed="false">
      <c r="A24" s="0" t="s">
        <v>30</v>
      </c>
      <c r="B24" s="0" t="s">
        <v>8</v>
      </c>
      <c r="C24" s="0" t="n">
        <v>3</v>
      </c>
      <c r="D24" s="0" t="n">
        <v>3</v>
      </c>
      <c r="E24" s="0" t="n">
        <v>1</v>
      </c>
      <c r="F24" s="0" t="n">
        <v>3</v>
      </c>
      <c r="G24" s="0" t="n">
        <v>0.495</v>
      </c>
      <c r="H24" s="0" t="n">
        <v>3</v>
      </c>
      <c r="K24" s="0" t="n">
        <f aca="false">C24*4</f>
        <v>12</v>
      </c>
      <c r="L24" s="0" t="n">
        <f aca="false">D24*1</f>
        <v>3</v>
      </c>
      <c r="M24" s="0" t="n">
        <f aca="false">E24*2</f>
        <v>2</v>
      </c>
      <c r="N24" s="0" t="n">
        <f aca="false">F24*2</f>
        <v>6</v>
      </c>
      <c r="O24" s="0" t="n">
        <f aca="false">(C24*4)+(D24*1)+(E24*2)+(F24*2)</f>
        <v>23</v>
      </c>
      <c r="P24" s="1" t="n">
        <f aca="false">(K24/O24)*100</f>
        <v>52.1739130434783</v>
      </c>
      <c r="Q24" s="1" t="n">
        <f aca="false">(L24/O24)*100</f>
        <v>13.0434782608696</v>
      </c>
      <c r="R24" s="1" t="n">
        <f aca="false">(M24/O24)*100</f>
        <v>8.69565217391304</v>
      </c>
      <c r="S24" s="1" t="n">
        <f aca="false">(N24/O24)*100</f>
        <v>26.0869565217391</v>
      </c>
    </row>
    <row r="25" customFormat="false" ht="12.8" hidden="false" customHeight="false" outlineLevel="0" collapsed="false">
      <c r="A25" s="0" t="s">
        <v>31</v>
      </c>
      <c r="B25" s="0" t="s">
        <v>8</v>
      </c>
      <c r="C25" s="0" t="n">
        <v>4</v>
      </c>
      <c r="D25" s="0" t="n">
        <v>2</v>
      </c>
      <c r="E25" s="0" t="n">
        <v>1</v>
      </c>
      <c r="F25" s="0" t="n">
        <v>3</v>
      </c>
      <c r="G25" s="0" t="n">
        <v>0.595</v>
      </c>
      <c r="H25" s="0" t="n">
        <v>3</v>
      </c>
      <c r="K25" s="0" t="n">
        <f aca="false">C25*4</f>
        <v>16</v>
      </c>
      <c r="L25" s="0" t="n">
        <f aca="false">D25*1</f>
        <v>2</v>
      </c>
      <c r="M25" s="0" t="n">
        <f aca="false">E25*2</f>
        <v>2</v>
      </c>
      <c r="N25" s="0" t="n">
        <f aca="false">F25*2</f>
        <v>6</v>
      </c>
      <c r="O25" s="0" t="n">
        <f aca="false">(C25*4)+(D25*1)+(E25*2)+(F25*2)</f>
        <v>26</v>
      </c>
      <c r="P25" s="1" t="n">
        <f aca="false">(K25/O25)*100</f>
        <v>61.5384615384615</v>
      </c>
      <c r="Q25" s="1" t="n">
        <f aca="false">(L25/O25)*100</f>
        <v>7.69230769230769</v>
      </c>
      <c r="R25" s="1" t="n">
        <f aca="false">(M25/O25)*100</f>
        <v>7.69230769230769</v>
      </c>
      <c r="S25" s="1" t="n">
        <f aca="false">(N25/O25)*100</f>
        <v>23.0769230769231</v>
      </c>
    </row>
    <row r="26" customFormat="false" ht="12.8" hidden="false" customHeight="false" outlineLevel="0" collapsed="false">
      <c r="A26" s="0" t="s">
        <v>32</v>
      </c>
      <c r="B26" s="0" t="s">
        <v>8</v>
      </c>
      <c r="C26" s="0" t="n">
        <v>4</v>
      </c>
      <c r="D26" s="0" t="n">
        <v>2</v>
      </c>
      <c r="E26" s="0" t="n">
        <v>1</v>
      </c>
      <c r="F26" s="0" t="n">
        <v>3</v>
      </c>
      <c r="G26" s="0" t="n">
        <v>0.595</v>
      </c>
      <c r="H26" s="0" t="n">
        <v>3</v>
      </c>
      <c r="K26" s="0" t="n">
        <f aca="false">C26*4</f>
        <v>16</v>
      </c>
      <c r="L26" s="0" t="n">
        <f aca="false">D26*1</f>
        <v>2</v>
      </c>
      <c r="M26" s="0" t="n">
        <f aca="false">E26*2</f>
        <v>2</v>
      </c>
      <c r="N26" s="0" t="n">
        <f aca="false">F26*2</f>
        <v>6</v>
      </c>
      <c r="O26" s="0" t="n">
        <f aca="false">(C26*4)+(D26*1)+(E26*2)+(F26*2)</f>
        <v>26</v>
      </c>
      <c r="P26" s="1" t="n">
        <f aca="false">(K26/O26)*100</f>
        <v>61.5384615384615</v>
      </c>
      <c r="Q26" s="1" t="n">
        <f aca="false">(L26/O26)*100</f>
        <v>7.69230769230769</v>
      </c>
      <c r="R26" s="1" t="n">
        <f aca="false">(M26/O26)*100</f>
        <v>7.69230769230769</v>
      </c>
      <c r="S26" s="1" t="n">
        <f aca="false">(N26/O26)*100</f>
        <v>23.0769230769231</v>
      </c>
    </row>
    <row r="27" customFormat="false" ht="12.8" hidden="false" customHeight="false" outlineLevel="0" collapsed="false">
      <c r="A27" s="0" t="s">
        <v>33</v>
      </c>
      <c r="B27" s="0" t="s">
        <v>8</v>
      </c>
      <c r="C27" s="0" t="n">
        <v>2</v>
      </c>
      <c r="D27" s="0" t="n">
        <v>3</v>
      </c>
      <c r="E27" s="0" t="n">
        <v>1</v>
      </c>
      <c r="F27" s="0" t="n">
        <v>1</v>
      </c>
      <c r="G27" s="0" t="n">
        <v>0.202</v>
      </c>
      <c r="H27" s="0" t="n">
        <v>2</v>
      </c>
      <c r="K27" s="0" t="n">
        <f aca="false">C27*4</f>
        <v>8</v>
      </c>
      <c r="L27" s="0" t="n">
        <f aca="false">D27*1</f>
        <v>3</v>
      </c>
      <c r="M27" s="0" t="n">
        <f aca="false">E27*2</f>
        <v>2</v>
      </c>
      <c r="N27" s="0" t="n">
        <f aca="false">F27*2</f>
        <v>2</v>
      </c>
      <c r="O27" s="0" t="n">
        <f aca="false">(C27*4)+(D27*1)+(E27*2)+(F27*2)</f>
        <v>15</v>
      </c>
      <c r="P27" s="1" t="n">
        <f aca="false">(K27/O27)*100</f>
        <v>53.3333333333333</v>
      </c>
      <c r="Q27" s="1" t="n">
        <f aca="false">(L27/O27)*100</f>
        <v>20</v>
      </c>
      <c r="R27" s="1" t="n">
        <f aca="false">(M27/O27)*100</f>
        <v>13.3333333333333</v>
      </c>
      <c r="S27" s="1" t="n">
        <f aca="false">(N27/O27)*100</f>
        <v>13.3333333333333</v>
      </c>
    </row>
    <row r="28" customFormat="false" ht="12.8" hidden="false" customHeight="false" outlineLevel="0" collapsed="false">
      <c r="A28" s="0" t="s">
        <v>34</v>
      </c>
      <c r="B28" s="0" t="s">
        <v>8</v>
      </c>
      <c r="C28" s="0" t="n">
        <v>4</v>
      </c>
      <c r="D28" s="0" t="n">
        <v>2</v>
      </c>
      <c r="E28" s="0" t="n">
        <v>1</v>
      </c>
      <c r="F28" s="0" t="n">
        <v>3</v>
      </c>
      <c r="G28" s="0" t="n">
        <v>0.595</v>
      </c>
      <c r="H28" s="0" t="n">
        <v>3</v>
      </c>
      <c r="K28" s="0" t="n">
        <f aca="false">C28*4</f>
        <v>16</v>
      </c>
      <c r="L28" s="0" t="n">
        <f aca="false">D28*1</f>
        <v>2</v>
      </c>
      <c r="M28" s="0" t="n">
        <f aca="false">E28*2</f>
        <v>2</v>
      </c>
      <c r="N28" s="0" t="n">
        <f aca="false">F28*2</f>
        <v>6</v>
      </c>
      <c r="O28" s="0" t="n">
        <f aca="false">(C28*4)+(D28*1)+(E28*2)+(F28*2)</f>
        <v>26</v>
      </c>
      <c r="P28" s="1" t="n">
        <f aca="false">(K28/O28)*100</f>
        <v>61.5384615384615</v>
      </c>
      <c r="Q28" s="1" t="n">
        <f aca="false">(L28/O28)*100</f>
        <v>7.69230769230769</v>
      </c>
      <c r="R28" s="1" t="n">
        <f aca="false">(M28/O28)*100</f>
        <v>7.69230769230769</v>
      </c>
      <c r="S28" s="1" t="n">
        <f aca="false">(N28/O28)*100</f>
        <v>23.0769230769231</v>
      </c>
    </row>
    <row r="29" customFormat="false" ht="12.8" hidden="false" customHeight="false" outlineLevel="0" collapsed="false">
      <c r="A29" s="0" t="s">
        <v>35</v>
      </c>
      <c r="B29" s="0" t="s">
        <v>8</v>
      </c>
      <c r="C29" s="0" t="n">
        <v>3</v>
      </c>
      <c r="D29" s="0" t="n">
        <v>3</v>
      </c>
      <c r="E29" s="0" t="n">
        <v>1</v>
      </c>
      <c r="F29" s="0" t="n">
        <v>3</v>
      </c>
      <c r="G29" s="0" t="n">
        <v>0.495</v>
      </c>
      <c r="H29" s="0" t="n">
        <v>3</v>
      </c>
      <c r="K29" s="0" t="n">
        <f aca="false">C29*4</f>
        <v>12</v>
      </c>
      <c r="L29" s="0" t="n">
        <f aca="false">D29*1</f>
        <v>3</v>
      </c>
      <c r="M29" s="0" t="n">
        <f aca="false">E29*2</f>
        <v>2</v>
      </c>
      <c r="N29" s="0" t="n">
        <f aca="false">F29*2</f>
        <v>6</v>
      </c>
      <c r="O29" s="0" t="n">
        <f aca="false">(C29*4)+(D29*1)+(E29*2)+(F29*2)</f>
        <v>23</v>
      </c>
      <c r="P29" s="1" t="n">
        <f aca="false">(K29/O29)*100</f>
        <v>52.1739130434783</v>
      </c>
      <c r="Q29" s="1" t="n">
        <f aca="false">(L29/O29)*100</f>
        <v>13.0434782608696</v>
      </c>
      <c r="R29" s="1" t="n">
        <f aca="false">(M29/O29)*100</f>
        <v>8.69565217391304</v>
      </c>
      <c r="S29" s="1" t="n">
        <f aca="false">(N29/O29)*100</f>
        <v>26.0869565217391</v>
      </c>
    </row>
    <row r="30" customFormat="false" ht="12.8" hidden="false" customHeight="false" outlineLevel="0" collapsed="false">
      <c r="A30" s="0" t="s">
        <v>36</v>
      </c>
      <c r="B30" s="0" t="s">
        <v>8</v>
      </c>
      <c r="C30" s="0" t="n">
        <v>5</v>
      </c>
      <c r="D30" s="0" t="n">
        <v>2</v>
      </c>
      <c r="E30" s="0" t="n">
        <v>1</v>
      </c>
      <c r="F30" s="0" t="n">
        <v>3</v>
      </c>
      <c r="G30" s="0" t="n">
        <v>0.667</v>
      </c>
      <c r="H30" s="0" t="n">
        <v>4</v>
      </c>
      <c r="K30" s="0" t="n">
        <f aca="false">C30*4</f>
        <v>20</v>
      </c>
      <c r="L30" s="0" t="n">
        <f aca="false">D30*1</f>
        <v>2</v>
      </c>
      <c r="M30" s="0" t="n">
        <f aca="false">E30*2</f>
        <v>2</v>
      </c>
      <c r="N30" s="0" t="n">
        <f aca="false">F30*2</f>
        <v>6</v>
      </c>
      <c r="O30" s="0" t="n">
        <f aca="false">(C30*4)+(D30*1)+(E30*2)+(F30*2)</f>
        <v>30</v>
      </c>
      <c r="P30" s="1" t="n">
        <f aca="false">(K30/O30)*100</f>
        <v>66.6666666666667</v>
      </c>
      <c r="Q30" s="1" t="n">
        <f aca="false">(L30/O30)*100</f>
        <v>6.66666666666667</v>
      </c>
      <c r="R30" s="1" t="n">
        <f aca="false">(M30/O30)*100</f>
        <v>6.66666666666667</v>
      </c>
      <c r="S30" s="1" t="n">
        <f aca="false">(N30/O30)*100</f>
        <v>20</v>
      </c>
    </row>
    <row r="31" customFormat="false" ht="12.8" hidden="false" customHeight="false" outlineLevel="0" collapsed="false">
      <c r="A31" s="0" t="s">
        <v>37</v>
      </c>
      <c r="B31" s="0" t="s">
        <v>8</v>
      </c>
      <c r="C31" s="0" t="n">
        <v>3</v>
      </c>
      <c r="D31" s="0" t="n">
        <v>4</v>
      </c>
      <c r="E31" s="0" t="n">
        <v>1</v>
      </c>
      <c r="F31" s="0" t="n">
        <v>3</v>
      </c>
      <c r="G31" s="0" t="n">
        <v>0.505</v>
      </c>
      <c r="H31" s="0" t="n">
        <v>3</v>
      </c>
      <c r="K31" s="0" t="n">
        <f aca="false">C31*4</f>
        <v>12</v>
      </c>
      <c r="L31" s="0" t="n">
        <f aca="false">D31*1</f>
        <v>4</v>
      </c>
      <c r="M31" s="0" t="n">
        <f aca="false">E31*2</f>
        <v>2</v>
      </c>
      <c r="N31" s="0" t="n">
        <f aca="false">F31*2</f>
        <v>6</v>
      </c>
      <c r="O31" s="0" t="n">
        <f aca="false">(C31*4)+(D31*1)+(E31*2)+(F31*2)</f>
        <v>24</v>
      </c>
      <c r="P31" s="1" t="n">
        <f aca="false">(K31/O31)*100</f>
        <v>50</v>
      </c>
      <c r="Q31" s="1" t="n">
        <f aca="false">(L31/O31)*100</f>
        <v>16.6666666666667</v>
      </c>
      <c r="R31" s="1" t="n">
        <f aca="false">(M31/O31)*100</f>
        <v>8.33333333333333</v>
      </c>
      <c r="S31" s="1" t="n">
        <f aca="false">(N31/O31)*100</f>
        <v>25</v>
      </c>
    </row>
    <row r="32" customFormat="false" ht="12.8" hidden="false" customHeight="false" outlineLevel="0" collapsed="false">
      <c r="A32" s="0" t="s">
        <v>7</v>
      </c>
      <c r="B32" s="0" t="s">
        <v>38</v>
      </c>
      <c r="C32" s="0" t="n">
        <v>4</v>
      </c>
      <c r="D32" s="0" t="n">
        <v>3</v>
      </c>
      <c r="E32" s="0" t="n">
        <v>1</v>
      </c>
      <c r="F32" s="0" t="n">
        <v>3</v>
      </c>
      <c r="G32" s="0" t="n">
        <v>0.519</v>
      </c>
      <c r="H32" s="0" t="n">
        <v>3</v>
      </c>
      <c r="K32" s="0" t="n">
        <f aca="false">C32*4</f>
        <v>16</v>
      </c>
      <c r="L32" s="0" t="n">
        <f aca="false">D32*1</f>
        <v>3</v>
      </c>
      <c r="M32" s="0" t="n">
        <f aca="false">E32*2</f>
        <v>2</v>
      </c>
      <c r="N32" s="0" t="n">
        <f aca="false">F32*2</f>
        <v>6</v>
      </c>
      <c r="O32" s="0" t="n">
        <f aca="false">(C32*4)+(D32*1)+(E32*2)+(F32*2)</f>
        <v>27</v>
      </c>
      <c r="P32" s="1" t="n">
        <f aca="false">(K32/O32)*100</f>
        <v>59.2592592592593</v>
      </c>
      <c r="Q32" s="1" t="n">
        <f aca="false">(L32/O32)*100</f>
        <v>11.1111111111111</v>
      </c>
      <c r="R32" s="1" t="n">
        <f aca="false">(M32/O32)*100</f>
        <v>7.40740740740741</v>
      </c>
      <c r="S32" s="1" t="n">
        <f aca="false">(N32/O32)*100</f>
        <v>22.2222222222222</v>
      </c>
    </row>
    <row r="33" customFormat="false" ht="12.8" hidden="false" customHeight="false" outlineLevel="0" collapsed="false">
      <c r="A33" s="0" t="s">
        <v>9</v>
      </c>
      <c r="B33" s="0" t="s">
        <v>38</v>
      </c>
      <c r="C33" s="0" t="n">
        <v>2</v>
      </c>
      <c r="D33" s="0" t="n">
        <v>4</v>
      </c>
      <c r="E33" s="0" t="n">
        <v>1</v>
      </c>
      <c r="F33" s="0" t="n">
        <v>3</v>
      </c>
      <c r="G33" s="0" t="n">
        <v>0.129</v>
      </c>
      <c r="H33" s="0" t="n">
        <v>1</v>
      </c>
      <c r="K33" s="0" t="n">
        <f aca="false">C33*4</f>
        <v>8</v>
      </c>
      <c r="L33" s="0" t="n">
        <f aca="false">D33*1</f>
        <v>4</v>
      </c>
      <c r="M33" s="0" t="n">
        <f aca="false">E33*2</f>
        <v>2</v>
      </c>
      <c r="N33" s="0" t="n">
        <f aca="false">F33*2</f>
        <v>6</v>
      </c>
      <c r="O33" s="0" t="n">
        <f aca="false">(C33*4)+(D33*1)+(E33*2)+(F33*2)</f>
        <v>20</v>
      </c>
      <c r="P33" s="1" t="n">
        <f aca="false">(K33/O33)*100</f>
        <v>40</v>
      </c>
      <c r="Q33" s="1" t="n">
        <f aca="false">(L33/O33)*100</f>
        <v>20</v>
      </c>
      <c r="R33" s="1" t="n">
        <f aca="false">(M33/O33)*100</f>
        <v>10</v>
      </c>
      <c r="S33" s="1" t="n">
        <f aca="false">(N33/O33)*100</f>
        <v>30</v>
      </c>
    </row>
    <row r="34" customFormat="false" ht="12.8" hidden="false" customHeight="false" outlineLevel="0" collapsed="false">
      <c r="A34" s="0" t="s">
        <v>10</v>
      </c>
      <c r="B34" s="0" t="s">
        <v>38</v>
      </c>
      <c r="C34" s="0" t="n">
        <v>3</v>
      </c>
      <c r="D34" s="0" t="n">
        <v>4</v>
      </c>
      <c r="E34" s="0" t="n">
        <v>2</v>
      </c>
      <c r="F34" s="0" t="n">
        <v>3</v>
      </c>
      <c r="G34" s="0" t="n">
        <v>0.338</v>
      </c>
      <c r="H34" s="0" t="n">
        <v>2</v>
      </c>
      <c r="K34" s="0" t="n">
        <f aca="false">C34*4</f>
        <v>12</v>
      </c>
      <c r="L34" s="0" t="n">
        <f aca="false">D34*1</f>
        <v>4</v>
      </c>
      <c r="M34" s="0" t="n">
        <f aca="false">E34*2</f>
        <v>4</v>
      </c>
      <c r="N34" s="0" t="n">
        <f aca="false">F34*2</f>
        <v>6</v>
      </c>
      <c r="O34" s="0" t="n">
        <f aca="false">(C34*4)+(D34*1)+(E34*2)+(F34*2)</f>
        <v>26</v>
      </c>
      <c r="P34" s="1" t="n">
        <f aca="false">(K34/O34)*100</f>
        <v>46.1538461538462</v>
      </c>
      <c r="Q34" s="1" t="n">
        <f aca="false">(L34/O34)*100</f>
        <v>15.3846153846154</v>
      </c>
      <c r="R34" s="1" t="n">
        <f aca="false">(M34/O34)*100</f>
        <v>15.3846153846154</v>
      </c>
      <c r="S34" s="1" t="n">
        <f aca="false">(N34/O34)*100</f>
        <v>23.0769230769231</v>
      </c>
    </row>
    <row r="35" customFormat="false" ht="12.8" hidden="false" customHeight="false" outlineLevel="0" collapsed="false">
      <c r="A35" s="0" t="s">
        <v>11</v>
      </c>
      <c r="B35" s="0" t="s">
        <v>38</v>
      </c>
      <c r="C35" s="0" t="n">
        <v>2</v>
      </c>
      <c r="D35" s="0" t="n">
        <v>3</v>
      </c>
      <c r="E35" s="0" t="n">
        <v>1</v>
      </c>
      <c r="F35" s="0" t="n">
        <v>3</v>
      </c>
      <c r="G35" s="0" t="n">
        <v>0.069</v>
      </c>
      <c r="H35" s="0" t="n">
        <v>1</v>
      </c>
      <c r="K35" s="0" t="n">
        <f aca="false">C35*4</f>
        <v>8</v>
      </c>
      <c r="L35" s="0" t="n">
        <f aca="false">D35*1</f>
        <v>3</v>
      </c>
      <c r="M35" s="0" t="n">
        <f aca="false">E35*2</f>
        <v>2</v>
      </c>
      <c r="N35" s="0" t="n">
        <f aca="false">F35*2</f>
        <v>6</v>
      </c>
      <c r="O35" s="0" t="n">
        <f aca="false">(C35*4)+(D35*1)+(E35*2)+(F35*2)</f>
        <v>19</v>
      </c>
      <c r="P35" s="1" t="n">
        <f aca="false">(K35/O35)*100</f>
        <v>42.1052631578947</v>
      </c>
      <c r="Q35" s="1" t="n">
        <f aca="false">(L35/O35)*100</f>
        <v>15.7894736842105</v>
      </c>
      <c r="R35" s="1" t="n">
        <f aca="false">(M35/O35)*100</f>
        <v>10.5263157894737</v>
      </c>
      <c r="S35" s="1" t="n">
        <f aca="false">(N35/O35)*100</f>
        <v>31.5789473684211</v>
      </c>
    </row>
    <row r="36" customFormat="false" ht="12.8" hidden="false" customHeight="false" outlineLevel="0" collapsed="false">
      <c r="A36" s="0" t="s">
        <v>12</v>
      </c>
      <c r="B36" s="0" t="s">
        <v>38</v>
      </c>
      <c r="C36" s="0" t="n">
        <v>3</v>
      </c>
      <c r="D36" s="0" t="n">
        <v>3</v>
      </c>
      <c r="E36" s="0" t="n">
        <v>3</v>
      </c>
      <c r="F36" s="0" t="n">
        <v>3</v>
      </c>
      <c r="G36" s="0" t="n">
        <v>0.368</v>
      </c>
      <c r="H36" s="0" t="n">
        <v>2</v>
      </c>
      <c r="K36" s="0" t="n">
        <f aca="false">C36*4</f>
        <v>12</v>
      </c>
      <c r="L36" s="0" t="n">
        <f aca="false">D36*1</f>
        <v>3</v>
      </c>
      <c r="M36" s="0" t="n">
        <f aca="false">E36*2</f>
        <v>6</v>
      </c>
      <c r="N36" s="0" t="n">
        <f aca="false">F36*2</f>
        <v>6</v>
      </c>
      <c r="O36" s="0" t="n">
        <f aca="false">(C36*4)+(D36*1)+(E36*2)+(F36*2)</f>
        <v>27</v>
      </c>
      <c r="P36" s="1" t="n">
        <f aca="false">(K36/O36)*100</f>
        <v>44.4444444444444</v>
      </c>
      <c r="Q36" s="1" t="n">
        <f aca="false">(L36/O36)*100</f>
        <v>11.1111111111111</v>
      </c>
      <c r="R36" s="1" t="n">
        <f aca="false">(M36/O36)*100</f>
        <v>22.2222222222222</v>
      </c>
      <c r="S36" s="1" t="n">
        <f aca="false">(N36/O36)*100</f>
        <v>22.2222222222222</v>
      </c>
    </row>
    <row r="37" customFormat="false" ht="12.8" hidden="false" customHeight="false" outlineLevel="0" collapsed="false">
      <c r="A37" s="0" t="s">
        <v>13</v>
      </c>
      <c r="B37" s="0" t="s">
        <v>38</v>
      </c>
      <c r="C37" s="0" t="n">
        <v>3</v>
      </c>
      <c r="D37" s="0" t="n">
        <v>2</v>
      </c>
      <c r="E37" s="0" t="n">
        <v>1</v>
      </c>
      <c r="F37" s="0" t="n">
        <v>3</v>
      </c>
      <c r="G37" s="0" t="n">
        <v>0.277</v>
      </c>
      <c r="H37" s="0" t="n">
        <v>2</v>
      </c>
      <c r="K37" s="0" t="n">
        <f aca="false">C37*4</f>
        <v>12</v>
      </c>
      <c r="L37" s="0" t="n">
        <f aca="false">D37*1</f>
        <v>2</v>
      </c>
      <c r="M37" s="0" t="n">
        <f aca="false">E37*2</f>
        <v>2</v>
      </c>
      <c r="N37" s="0" t="n">
        <f aca="false">F37*2</f>
        <v>6</v>
      </c>
      <c r="O37" s="0" t="n">
        <f aca="false">(C37*4)+(D37*1)+(E37*2)+(F37*2)</f>
        <v>22</v>
      </c>
      <c r="P37" s="1" t="n">
        <f aca="false">(K37/O37)*100</f>
        <v>54.5454545454545</v>
      </c>
      <c r="Q37" s="1" t="n">
        <f aca="false">(L37/O37)*100</f>
        <v>9.09090909090909</v>
      </c>
      <c r="R37" s="1" t="n">
        <f aca="false">(M37/O37)*100</f>
        <v>9.09090909090909</v>
      </c>
      <c r="S37" s="1" t="n">
        <f aca="false">(N37/O37)*100</f>
        <v>27.2727272727273</v>
      </c>
    </row>
    <row r="38" customFormat="false" ht="12.8" hidden="false" customHeight="false" outlineLevel="0" collapsed="false">
      <c r="A38" s="0" t="s">
        <v>14</v>
      </c>
      <c r="B38" s="0" t="s">
        <v>38</v>
      </c>
      <c r="C38" s="0" t="n">
        <v>4</v>
      </c>
      <c r="D38" s="0" t="n">
        <v>5</v>
      </c>
      <c r="E38" s="0" t="n">
        <v>1</v>
      </c>
      <c r="F38" s="0" t="n">
        <v>3</v>
      </c>
      <c r="G38" s="0" t="n">
        <v>0.542</v>
      </c>
      <c r="H38" s="0" t="n">
        <v>3</v>
      </c>
      <c r="K38" s="0" t="n">
        <f aca="false">C38*4</f>
        <v>16</v>
      </c>
      <c r="L38" s="0" t="n">
        <f aca="false">D38*1</f>
        <v>5</v>
      </c>
      <c r="M38" s="0" t="n">
        <f aca="false">E38*2</f>
        <v>2</v>
      </c>
      <c r="N38" s="0" t="n">
        <f aca="false">F38*2</f>
        <v>6</v>
      </c>
      <c r="O38" s="0" t="n">
        <f aca="false">(C38*4)+(D38*1)+(E38*2)+(F38*2)</f>
        <v>29</v>
      </c>
      <c r="P38" s="1" t="n">
        <f aca="false">(K38/O38)*100</f>
        <v>55.1724137931034</v>
      </c>
      <c r="Q38" s="1" t="n">
        <f aca="false">(L38/O38)*100</f>
        <v>17.2413793103448</v>
      </c>
      <c r="R38" s="1" t="n">
        <f aca="false">(M38/O38)*100</f>
        <v>6.89655172413793</v>
      </c>
      <c r="S38" s="1" t="n">
        <f aca="false">(N38/O38)*100</f>
        <v>20.6896551724138</v>
      </c>
    </row>
    <row r="39" customFormat="false" ht="12.8" hidden="false" customHeight="false" outlineLevel="0" collapsed="false">
      <c r="A39" s="0" t="s">
        <v>15</v>
      </c>
      <c r="B39" s="0" t="s">
        <v>38</v>
      </c>
      <c r="C39" s="0" t="n">
        <v>4</v>
      </c>
      <c r="D39" s="0" t="n">
        <v>2</v>
      </c>
      <c r="E39" s="0" t="n">
        <v>1</v>
      </c>
      <c r="F39" s="0" t="n">
        <v>3</v>
      </c>
      <c r="G39" s="0" t="n">
        <v>0.506</v>
      </c>
      <c r="H39" s="0" t="n">
        <v>3</v>
      </c>
      <c r="K39" s="0" t="n">
        <f aca="false">C39*4</f>
        <v>16</v>
      </c>
      <c r="L39" s="0" t="n">
        <f aca="false">D39*1</f>
        <v>2</v>
      </c>
      <c r="M39" s="0" t="n">
        <f aca="false">E39*2</f>
        <v>2</v>
      </c>
      <c r="N39" s="0" t="n">
        <f aca="false">F39*2</f>
        <v>6</v>
      </c>
      <c r="O39" s="0" t="n">
        <f aca="false">(C39*4)+(D39*1)+(E39*2)+(F39*2)</f>
        <v>26</v>
      </c>
      <c r="P39" s="1" t="n">
        <f aca="false">(K39/O39)*100</f>
        <v>61.5384615384615</v>
      </c>
      <c r="Q39" s="1" t="n">
        <f aca="false">(L39/O39)*100</f>
        <v>7.69230769230769</v>
      </c>
      <c r="R39" s="1" t="n">
        <f aca="false">(M39/O39)*100</f>
        <v>7.69230769230769</v>
      </c>
      <c r="S39" s="1" t="n">
        <f aca="false">(N39/O39)*100</f>
        <v>23.0769230769231</v>
      </c>
    </row>
    <row r="40" customFormat="false" ht="12.8" hidden="false" customHeight="false" outlineLevel="0" collapsed="false">
      <c r="A40" s="0" t="s">
        <v>16</v>
      </c>
      <c r="B40" s="0" t="s">
        <v>38</v>
      </c>
      <c r="C40" s="0" t="n">
        <v>5</v>
      </c>
      <c r="D40" s="0" t="n">
        <v>3</v>
      </c>
      <c r="E40" s="0" t="n">
        <v>2</v>
      </c>
      <c r="F40" s="0" t="n">
        <v>3</v>
      </c>
      <c r="G40" s="0" t="n">
        <v>0.711</v>
      </c>
      <c r="H40" s="0" t="n">
        <v>4</v>
      </c>
      <c r="K40" s="0" t="n">
        <f aca="false">C40*4</f>
        <v>20</v>
      </c>
      <c r="L40" s="0" t="n">
        <f aca="false">D40*1</f>
        <v>3</v>
      </c>
      <c r="M40" s="0" t="n">
        <f aca="false">E40*2</f>
        <v>4</v>
      </c>
      <c r="N40" s="0" t="n">
        <f aca="false">F40*2</f>
        <v>6</v>
      </c>
      <c r="O40" s="0" t="n">
        <f aca="false">(C40*4)+(D40*1)+(E40*2)+(F40*2)</f>
        <v>33</v>
      </c>
      <c r="P40" s="1" t="n">
        <f aca="false">(K40/O40)*100</f>
        <v>60.6060606060606</v>
      </c>
      <c r="Q40" s="1" t="n">
        <f aca="false">(L40/O40)*100</f>
        <v>9.09090909090909</v>
      </c>
      <c r="R40" s="1" t="n">
        <f aca="false">(M40/O40)*100</f>
        <v>12.1212121212121</v>
      </c>
      <c r="S40" s="1" t="n">
        <f aca="false">(N40/O40)*100</f>
        <v>18.1818181818182</v>
      </c>
    </row>
    <row r="41" customFormat="false" ht="12.8" hidden="false" customHeight="false" outlineLevel="0" collapsed="false">
      <c r="A41" s="0" t="s">
        <v>17</v>
      </c>
      <c r="B41" s="0" t="s">
        <v>38</v>
      </c>
      <c r="C41" s="0" t="n">
        <v>4</v>
      </c>
      <c r="D41" s="0" t="n">
        <v>2</v>
      </c>
      <c r="E41" s="0" t="n">
        <v>1</v>
      </c>
      <c r="F41" s="0" t="n">
        <v>3</v>
      </c>
      <c r="G41" s="0" t="n">
        <v>0.506</v>
      </c>
      <c r="H41" s="0" t="n">
        <v>3</v>
      </c>
      <c r="K41" s="0" t="n">
        <f aca="false">C41*4</f>
        <v>16</v>
      </c>
      <c r="L41" s="0" t="n">
        <f aca="false">D41*1</f>
        <v>2</v>
      </c>
      <c r="M41" s="0" t="n">
        <f aca="false">E41*2</f>
        <v>2</v>
      </c>
      <c r="N41" s="0" t="n">
        <f aca="false">F41*2</f>
        <v>6</v>
      </c>
      <c r="O41" s="0" t="n">
        <f aca="false">(C41*4)+(D41*1)+(E41*2)+(F41*2)</f>
        <v>26</v>
      </c>
      <c r="P41" s="1" t="n">
        <f aca="false">(K41/O41)*100</f>
        <v>61.5384615384615</v>
      </c>
      <c r="Q41" s="1" t="n">
        <f aca="false">(L41/O41)*100</f>
        <v>7.69230769230769</v>
      </c>
      <c r="R41" s="1" t="n">
        <f aca="false">(M41/O41)*100</f>
        <v>7.69230769230769</v>
      </c>
      <c r="S41" s="1" t="n">
        <f aca="false">(N41/O41)*100</f>
        <v>23.0769230769231</v>
      </c>
    </row>
    <row r="42" customFormat="false" ht="12.8" hidden="false" customHeight="false" outlineLevel="0" collapsed="false">
      <c r="A42" s="0" t="s">
        <v>18</v>
      </c>
      <c r="B42" s="0" t="s">
        <v>38</v>
      </c>
      <c r="C42" s="0" t="n">
        <v>4</v>
      </c>
      <c r="D42" s="0" t="n">
        <v>5</v>
      </c>
      <c r="E42" s="0" t="n">
        <v>1</v>
      </c>
      <c r="F42" s="0" t="n">
        <v>3</v>
      </c>
      <c r="G42" s="0" t="n">
        <v>0.542</v>
      </c>
      <c r="H42" s="0" t="n">
        <v>3</v>
      </c>
      <c r="K42" s="0" t="n">
        <f aca="false">C42*4</f>
        <v>16</v>
      </c>
      <c r="L42" s="0" t="n">
        <f aca="false">D42*1</f>
        <v>5</v>
      </c>
      <c r="M42" s="0" t="n">
        <f aca="false">E42*2</f>
        <v>2</v>
      </c>
      <c r="N42" s="0" t="n">
        <f aca="false">F42*2</f>
        <v>6</v>
      </c>
      <c r="O42" s="0" t="n">
        <f aca="false">(C42*4)+(D42*1)+(E42*2)+(F42*2)</f>
        <v>29</v>
      </c>
      <c r="P42" s="1" t="n">
        <f aca="false">(K42/O42)*100</f>
        <v>55.1724137931034</v>
      </c>
      <c r="Q42" s="1" t="n">
        <f aca="false">(L42/O42)*100</f>
        <v>17.2413793103448</v>
      </c>
      <c r="R42" s="1" t="n">
        <f aca="false">(M42/O42)*100</f>
        <v>6.89655172413793</v>
      </c>
      <c r="S42" s="1" t="n">
        <f aca="false">(N42/O42)*100</f>
        <v>20.6896551724138</v>
      </c>
    </row>
    <row r="43" customFormat="false" ht="12.8" hidden="false" customHeight="false" outlineLevel="0" collapsed="false">
      <c r="A43" s="0" t="s">
        <v>19</v>
      </c>
      <c r="B43" s="0" t="s">
        <v>38</v>
      </c>
      <c r="C43" s="0" t="n">
        <v>2</v>
      </c>
      <c r="D43" s="0" t="n">
        <v>3</v>
      </c>
      <c r="E43" s="0" t="n">
        <v>1</v>
      </c>
      <c r="F43" s="0" t="n">
        <v>3</v>
      </c>
      <c r="G43" s="0" t="n">
        <v>0.069</v>
      </c>
      <c r="H43" s="0" t="n">
        <v>1</v>
      </c>
      <c r="K43" s="0" t="n">
        <f aca="false">C43*4</f>
        <v>8</v>
      </c>
      <c r="L43" s="0" t="n">
        <f aca="false">D43*1</f>
        <v>3</v>
      </c>
      <c r="M43" s="0" t="n">
        <f aca="false">E43*2</f>
        <v>2</v>
      </c>
      <c r="N43" s="0" t="n">
        <f aca="false">F43*2</f>
        <v>6</v>
      </c>
      <c r="O43" s="0" t="n">
        <f aca="false">(C43*4)+(D43*1)+(E43*2)+(F43*2)</f>
        <v>19</v>
      </c>
      <c r="P43" s="1" t="n">
        <f aca="false">(K43/O43)*100</f>
        <v>42.1052631578947</v>
      </c>
      <c r="Q43" s="1" t="n">
        <f aca="false">(L43/O43)*100</f>
        <v>15.7894736842105</v>
      </c>
      <c r="R43" s="1" t="n">
        <f aca="false">(M43/O43)*100</f>
        <v>10.5263157894737</v>
      </c>
      <c r="S43" s="1" t="n">
        <f aca="false">(N43/O43)*100</f>
        <v>31.5789473684211</v>
      </c>
    </row>
    <row r="44" customFormat="false" ht="12.8" hidden="false" customHeight="false" outlineLevel="0" collapsed="false">
      <c r="A44" s="0" t="s">
        <v>20</v>
      </c>
      <c r="B44" s="0" t="s">
        <v>38</v>
      </c>
      <c r="C44" s="0" t="n">
        <v>5</v>
      </c>
      <c r="D44" s="0" t="n">
        <v>4</v>
      </c>
      <c r="E44" s="0" t="n">
        <v>5</v>
      </c>
      <c r="F44" s="0" t="n">
        <v>3</v>
      </c>
      <c r="G44" s="0" t="n">
        <v>0.931</v>
      </c>
      <c r="H44" s="0" t="n">
        <v>5</v>
      </c>
      <c r="K44" s="0" t="n">
        <f aca="false">C44*4</f>
        <v>20</v>
      </c>
      <c r="L44" s="0" t="n">
        <f aca="false">D44*1</f>
        <v>4</v>
      </c>
      <c r="M44" s="0" t="n">
        <f aca="false">E44*2</f>
        <v>10</v>
      </c>
      <c r="N44" s="0" t="n">
        <f aca="false">F44*2</f>
        <v>6</v>
      </c>
      <c r="O44" s="0" t="n">
        <f aca="false">(C44*4)+(D44*1)+(E44*2)+(F44*2)</f>
        <v>40</v>
      </c>
      <c r="P44" s="1" t="n">
        <f aca="false">(K44/O44)*100</f>
        <v>50</v>
      </c>
      <c r="Q44" s="1" t="n">
        <f aca="false">(L44/O44)*100</f>
        <v>10</v>
      </c>
      <c r="R44" s="1" t="n">
        <f aca="false">(M44/O44)*100</f>
        <v>25</v>
      </c>
      <c r="S44" s="1" t="n">
        <f aca="false">(N44/O44)*100</f>
        <v>15</v>
      </c>
    </row>
    <row r="45" customFormat="false" ht="12.8" hidden="false" customHeight="false" outlineLevel="0" collapsed="false">
      <c r="A45" s="0" t="s">
        <v>21</v>
      </c>
      <c r="B45" s="0" t="s">
        <v>38</v>
      </c>
      <c r="C45" s="0" t="n">
        <v>2</v>
      </c>
      <c r="D45" s="0" t="n">
        <v>2</v>
      </c>
      <c r="E45" s="0" t="n">
        <v>1</v>
      </c>
      <c r="F45" s="0" t="n">
        <v>3</v>
      </c>
      <c r="G45" s="0" t="n">
        <v>0</v>
      </c>
      <c r="H45" s="0" t="n">
        <v>1</v>
      </c>
      <c r="K45" s="0" t="n">
        <f aca="false">C45*4</f>
        <v>8</v>
      </c>
      <c r="L45" s="0" t="n">
        <f aca="false">D45*1</f>
        <v>2</v>
      </c>
      <c r="M45" s="0" t="n">
        <f aca="false">E45*2</f>
        <v>2</v>
      </c>
      <c r="N45" s="0" t="n">
        <f aca="false">F45*2</f>
        <v>6</v>
      </c>
      <c r="O45" s="0" t="n">
        <f aca="false">(C45*4)+(D45*1)+(E45*2)+(F45*2)</f>
        <v>18</v>
      </c>
      <c r="P45" s="1" t="n">
        <f aca="false">(K45/O45)*100</f>
        <v>44.4444444444444</v>
      </c>
      <c r="Q45" s="1" t="n">
        <f aca="false">(L45/O45)*100</f>
        <v>11.1111111111111</v>
      </c>
      <c r="R45" s="1" t="n">
        <f aca="false">(M45/O45)*100</f>
        <v>11.1111111111111</v>
      </c>
      <c r="S45" s="1" t="n">
        <f aca="false">(N45/O45)*100</f>
        <v>33.3333333333333</v>
      </c>
    </row>
    <row r="46" customFormat="false" ht="12.8" hidden="false" customHeight="false" outlineLevel="0" collapsed="false">
      <c r="A46" s="0" t="s">
        <v>22</v>
      </c>
      <c r="B46" s="0" t="s">
        <v>38</v>
      </c>
      <c r="C46" s="0" t="n">
        <v>2</v>
      </c>
      <c r="D46" s="0" t="n">
        <v>3</v>
      </c>
      <c r="E46" s="0" t="n">
        <v>5</v>
      </c>
      <c r="F46" s="0" t="n">
        <v>3</v>
      </c>
      <c r="G46" s="0" t="n">
        <v>0.333</v>
      </c>
      <c r="H46" s="0" t="n">
        <v>2</v>
      </c>
      <c r="K46" s="0" t="n">
        <f aca="false">C46*4</f>
        <v>8</v>
      </c>
      <c r="L46" s="0" t="n">
        <f aca="false">D46*1</f>
        <v>3</v>
      </c>
      <c r="M46" s="0" t="n">
        <f aca="false">E46*2</f>
        <v>10</v>
      </c>
      <c r="N46" s="0" t="n">
        <f aca="false">F46*2</f>
        <v>6</v>
      </c>
      <c r="O46" s="0" t="n">
        <f aca="false">(C46*4)+(D46*1)+(E46*2)+(F46*2)</f>
        <v>27</v>
      </c>
      <c r="P46" s="1" t="n">
        <f aca="false">(K46/O46)*100</f>
        <v>29.6296296296296</v>
      </c>
      <c r="Q46" s="1" t="n">
        <f aca="false">(L46/O46)*100</f>
        <v>11.1111111111111</v>
      </c>
      <c r="R46" s="1" t="n">
        <f aca="false">(M46/O46)*100</f>
        <v>37.037037037037</v>
      </c>
      <c r="S46" s="1" t="n">
        <f aca="false">(N46/O46)*100</f>
        <v>22.2222222222222</v>
      </c>
    </row>
    <row r="47" customFormat="false" ht="12.8" hidden="false" customHeight="false" outlineLevel="0" collapsed="false">
      <c r="A47" s="0" t="s">
        <v>23</v>
      </c>
      <c r="B47" s="0" t="s">
        <v>38</v>
      </c>
      <c r="C47" s="0" t="n">
        <v>3</v>
      </c>
      <c r="D47" s="0" t="n">
        <v>2</v>
      </c>
      <c r="E47" s="0" t="n">
        <v>1</v>
      </c>
      <c r="F47" s="0" t="n">
        <v>3</v>
      </c>
      <c r="G47" s="0" t="n">
        <v>0.277</v>
      </c>
      <c r="H47" s="0" t="n">
        <v>2</v>
      </c>
      <c r="K47" s="0" t="n">
        <f aca="false">C47*4</f>
        <v>12</v>
      </c>
      <c r="L47" s="0" t="n">
        <f aca="false">D47*1</f>
        <v>2</v>
      </c>
      <c r="M47" s="0" t="n">
        <f aca="false">E47*2</f>
        <v>2</v>
      </c>
      <c r="N47" s="0" t="n">
        <f aca="false">F47*2</f>
        <v>6</v>
      </c>
      <c r="O47" s="0" t="n">
        <f aca="false">(C47*4)+(D47*1)+(E47*2)+(F47*2)</f>
        <v>22</v>
      </c>
      <c r="P47" s="1" t="n">
        <f aca="false">(K47/O47)*100</f>
        <v>54.5454545454545</v>
      </c>
      <c r="Q47" s="1" t="n">
        <f aca="false">(L47/O47)*100</f>
        <v>9.09090909090909</v>
      </c>
      <c r="R47" s="1" t="n">
        <f aca="false">(M47/O47)*100</f>
        <v>9.09090909090909</v>
      </c>
      <c r="S47" s="1" t="n">
        <f aca="false">(N47/O47)*100</f>
        <v>27.2727272727273</v>
      </c>
    </row>
    <row r="48" customFormat="false" ht="12.8" hidden="false" customHeight="false" outlineLevel="0" collapsed="false">
      <c r="A48" s="0" t="s">
        <v>24</v>
      </c>
      <c r="B48" s="0" t="s">
        <v>38</v>
      </c>
      <c r="C48" s="0" t="n">
        <v>2</v>
      </c>
      <c r="D48" s="0" t="n">
        <v>3</v>
      </c>
      <c r="E48" s="0" t="n">
        <v>1</v>
      </c>
      <c r="F48" s="0" t="n">
        <v>3</v>
      </c>
      <c r="G48" s="0" t="n">
        <v>0.069</v>
      </c>
      <c r="H48" s="0" t="n">
        <v>1</v>
      </c>
      <c r="K48" s="0" t="n">
        <f aca="false">C48*4</f>
        <v>8</v>
      </c>
      <c r="L48" s="0" t="n">
        <f aca="false">D48*1</f>
        <v>3</v>
      </c>
      <c r="M48" s="0" t="n">
        <f aca="false">E48*2</f>
        <v>2</v>
      </c>
      <c r="N48" s="0" t="n">
        <f aca="false">F48*2</f>
        <v>6</v>
      </c>
      <c r="O48" s="0" t="n">
        <f aca="false">(C48*4)+(D48*1)+(E48*2)+(F48*2)</f>
        <v>19</v>
      </c>
      <c r="P48" s="1" t="n">
        <f aca="false">(K48/O48)*100</f>
        <v>42.1052631578947</v>
      </c>
      <c r="Q48" s="1" t="n">
        <f aca="false">(L48/O48)*100</f>
        <v>15.7894736842105</v>
      </c>
      <c r="R48" s="1" t="n">
        <f aca="false">(M48/O48)*100</f>
        <v>10.5263157894737</v>
      </c>
      <c r="S48" s="1" t="n">
        <f aca="false">(N48/O48)*100</f>
        <v>31.5789473684211</v>
      </c>
    </row>
    <row r="49" customFormat="false" ht="12.8" hidden="false" customHeight="false" outlineLevel="0" collapsed="false">
      <c r="A49" s="0" t="s">
        <v>25</v>
      </c>
      <c r="B49" s="0" t="s">
        <v>38</v>
      </c>
      <c r="C49" s="0" t="n">
        <v>4</v>
      </c>
      <c r="D49" s="0" t="n">
        <v>4</v>
      </c>
      <c r="E49" s="0" t="n">
        <v>4</v>
      </c>
      <c r="F49" s="0" t="n">
        <v>3</v>
      </c>
      <c r="G49" s="0" t="n">
        <v>0.682</v>
      </c>
      <c r="H49" s="0" t="n">
        <v>4</v>
      </c>
      <c r="K49" s="0" t="n">
        <f aca="false">C49*4</f>
        <v>16</v>
      </c>
      <c r="L49" s="0" t="n">
        <f aca="false">D49*1</f>
        <v>4</v>
      </c>
      <c r="M49" s="0" t="n">
        <f aca="false">E49*2</f>
        <v>8</v>
      </c>
      <c r="N49" s="0" t="n">
        <f aca="false">F49*2</f>
        <v>6</v>
      </c>
      <c r="O49" s="0" t="n">
        <f aca="false">(C49*4)+(D49*1)+(E49*2)+(F49*2)</f>
        <v>34</v>
      </c>
      <c r="P49" s="1" t="n">
        <f aca="false">(K49/O49)*100</f>
        <v>47.0588235294118</v>
      </c>
      <c r="Q49" s="1" t="n">
        <f aca="false">(L49/O49)*100</f>
        <v>11.7647058823529</v>
      </c>
      <c r="R49" s="1" t="n">
        <f aca="false">(M49/O49)*100</f>
        <v>23.5294117647059</v>
      </c>
      <c r="S49" s="1" t="n">
        <f aca="false">(N49/O49)*100</f>
        <v>17.6470588235294</v>
      </c>
    </row>
    <row r="50" customFormat="false" ht="12.8" hidden="false" customHeight="false" outlineLevel="0" collapsed="false">
      <c r="A50" s="0" t="s">
        <v>26</v>
      </c>
      <c r="B50" s="0" t="s">
        <v>38</v>
      </c>
      <c r="C50" s="0" t="n">
        <v>3</v>
      </c>
      <c r="D50" s="0" t="n">
        <v>4</v>
      </c>
      <c r="E50" s="0" t="n">
        <v>1</v>
      </c>
      <c r="F50" s="0" t="n">
        <v>3</v>
      </c>
      <c r="G50" s="0" t="n">
        <v>0.308</v>
      </c>
      <c r="H50" s="0" t="n">
        <v>2</v>
      </c>
      <c r="K50" s="0" t="n">
        <f aca="false">C50*4</f>
        <v>12</v>
      </c>
      <c r="L50" s="0" t="n">
        <f aca="false">D50*1</f>
        <v>4</v>
      </c>
      <c r="M50" s="0" t="n">
        <f aca="false">E50*2</f>
        <v>2</v>
      </c>
      <c r="N50" s="0" t="n">
        <f aca="false">F50*2</f>
        <v>6</v>
      </c>
      <c r="O50" s="0" t="n">
        <f aca="false">(C50*4)+(D50*1)+(E50*2)+(F50*2)</f>
        <v>24</v>
      </c>
      <c r="P50" s="1" t="n">
        <f aca="false">(K50/O50)*100</f>
        <v>50</v>
      </c>
      <c r="Q50" s="1" t="n">
        <f aca="false">(L50/O50)*100</f>
        <v>16.6666666666667</v>
      </c>
      <c r="R50" s="1" t="n">
        <f aca="false">(M50/O50)*100</f>
        <v>8.33333333333333</v>
      </c>
      <c r="S50" s="1" t="n">
        <f aca="false">(N50/O50)*100</f>
        <v>25</v>
      </c>
    </row>
    <row r="51" customFormat="false" ht="12.8" hidden="false" customHeight="false" outlineLevel="0" collapsed="false">
      <c r="A51" s="0" t="s">
        <v>27</v>
      </c>
      <c r="B51" s="0" t="s">
        <v>38</v>
      </c>
      <c r="C51" s="0" t="n">
        <v>4</v>
      </c>
      <c r="D51" s="0" t="n">
        <v>3</v>
      </c>
      <c r="E51" s="0" t="n">
        <v>1</v>
      </c>
      <c r="F51" s="0" t="n">
        <v>3</v>
      </c>
      <c r="G51" s="0" t="n">
        <v>0.519</v>
      </c>
      <c r="H51" s="0" t="n">
        <v>3</v>
      </c>
      <c r="K51" s="0" t="n">
        <f aca="false">C51*4</f>
        <v>16</v>
      </c>
      <c r="L51" s="0" t="n">
        <f aca="false">D51*1</f>
        <v>3</v>
      </c>
      <c r="M51" s="0" t="n">
        <f aca="false">E51*2</f>
        <v>2</v>
      </c>
      <c r="N51" s="0" t="n">
        <f aca="false">F51*2</f>
        <v>6</v>
      </c>
      <c r="O51" s="0" t="n">
        <f aca="false">(C51*4)+(D51*1)+(E51*2)+(F51*2)</f>
        <v>27</v>
      </c>
      <c r="P51" s="1" t="n">
        <f aca="false">(K51/O51)*100</f>
        <v>59.2592592592593</v>
      </c>
      <c r="Q51" s="1" t="n">
        <f aca="false">(L51/O51)*100</f>
        <v>11.1111111111111</v>
      </c>
      <c r="R51" s="1" t="n">
        <f aca="false">(M51/O51)*100</f>
        <v>7.40740740740741</v>
      </c>
      <c r="S51" s="1" t="n">
        <f aca="false">(N51/O51)*100</f>
        <v>22.2222222222222</v>
      </c>
    </row>
    <row r="52" customFormat="false" ht="12.8" hidden="false" customHeight="false" outlineLevel="0" collapsed="false">
      <c r="A52" s="0" t="s">
        <v>28</v>
      </c>
      <c r="B52" s="0" t="s">
        <v>38</v>
      </c>
      <c r="C52" s="0" t="n">
        <v>4</v>
      </c>
      <c r="D52" s="0" t="n">
        <v>2</v>
      </c>
      <c r="E52" s="0" t="n">
        <v>1</v>
      </c>
      <c r="F52" s="0" t="n">
        <v>3</v>
      </c>
      <c r="G52" s="0" t="n">
        <v>0.506</v>
      </c>
      <c r="H52" s="0" t="n">
        <v>3</v>
      </c>
      <c r="K52" s="0" t="n">
        <f aca="false">C52*4</f>
        <v>16</v>
      </c>
      <c r="L52" s="0" t="n">
        <f aca="false">D52*1</f>
        <v>2</v>
      </c>
      <c r="M52" s="0" t="n">
        <f aca="false">E52*2</f>
        <v>2</v>
      </c>
      <c r="N52" s="0" t="n">
        <f aca="false">F52*2</f>
        <v>6</v>
      </c>
      <c r="O52" s="0" t="n">
        <f aca="false">(C52*4)+(D52*1)+(E52*2)+(F52*2)</f>
        <v>26</v>
      </c>
      <c r="P52" s="1" t="n">
        <f aca="false">(K52/O52)*100</f>
        <v>61.5384615384615</v>
      </c>
      <c r="Q52" s="1" t="n">
        <f aca="false">(L52/O52)*100</f>
        <v>7.69230769230769</v>
      </c>
      <c r="R52" s="1" t="n">
        <f aca="false">(M52/O52)*100</f>
        <v>7.69230769230769</v>
      </c>
      <c r="S52" s="1" t="n">
        <f aca="false">(N52/O52)*100</f>
        <v>23.0769230769231</v>
      </c>
    </row>
    <row r="53" customFormat="false" ht="12.8" hidden="false" customHeight="false" outlineLevel="0" collapsed="false">
      <c r="A53" s="0" t="s">
        <v>29</v>
      </c>
      <c r="B53" s="0" t="s">
        <v>38</v>
      </c>
      <c r="C53" s="0" t="n">
        <v>3</v>
      </c>
      <c r="D53" s="0" t="n">
        <v>5</v>
      </c>
      <c r="E53" s="0" t="n">
        <v>1</v>
      </c>
      <c r="F53" s="0" t="n">
        <v>3</v>
      </c>
      <c r="G53" s="0" t="n">
        <v>0.333</v>
      </c>
      <c r="H53" s="0" t="n">
        <v>2</v>
      </c>
      <c r="K53" s="0" t="n">
        <f aca="false">C53*4</f>
        <v>12</v>
      </c>
      <c r="L53" s="0" t="n">
        <f aca="false">D53*1</f>
        <v>5</v>
      </c>
      <c r="M53" s="0" t="n">
        <f aca="false">E53*2</f>
        <v>2</v>
      </c>
      <c r="N53" s="0" t="n">
        <f aca="false">F53*2</f>
        <v>6</v>
      </c>
      <c r="O53" s="0" t="n">
        <f aca="false">(C53*4)+(D53*1)+(E53*2)+(F53*2)</f>
        <v>25</v>
      </c>
      <c r="P53" s="1" t="n">
        <f aca="false">(K53/O53)*100</f>
        <v>48</v>
      </c>
      <c r="Q53" s="1" t="n">
        <f aca="false">(L53/O53)*100</f>
        <v>20</v>
      </c>
      <c r="R53" s="1" t="n">
        <f aca="false">(M53/O53)*100</f>
        <v>8</v>
      </c>
      <c r="S53" s="1" t="n">
        <f aca="false">(N53/O53)*100</f>
        <v>24</v>
      </c>
    </row>
    <row r="54" customFormat="false" ht="12.8" hidden="false" customHeight="false" outlineLevel="0" collapsed="false">
      <c r="A54" s="0" t="s">
        <v>30</v>
      </c>
      <c r="B54" s="0" t="s">
        <v>38</v>
      </c>
      <c r="C54" s="0" t="n">
        <v>3</v>
      </c>
      <c r="D54" s="0" t="n">
        <v>3</v>
      </c>
      <c r="E54" s="0" t="n">
        <v>1</v>
      </c>
      <c r="F54" s="0" t="n">
        <v>3</v>
      </c>
      <c r="G54" s="0" t="n">
        <v>0.288</v>
      </c>
      <c r="H54" s="0" t="n">
        <v>2</v>
      </c>
      <c r="K54" s="0" t="n">
        <f aca="false">C54*4</f>
        <v>12</v>
      </c>
      <c r="L54" s="0" t="n">
        <f aca="false">D54*1</f>
        <v>3</v>
      </c>
      <c r="M54" s="0" t="n">
        <f aca="false">E54*2</f>
        <v>2</v>
      </c>
      <c r="N54" s="0" t="n">
        <f aca="false">F54*2</f>
        <v>6</v>
      </c>
      <c r="O54" s="0" t="n">
        <f aca="false">(C54*4)+(D54*1)+(E54*2)+(F54*2)</f>
        <v>23</v>
      </c>
      <c r="P54" s="1" t="n">
        <f aca="false">(K54/O54)*100</f>
        <v>52.1739130434783</v>
      </c>
      <c r="Q54" s="1" t="n">
        <f aca="false">(L54/O54)*100</f>
        <v>13.0434782608696</v>
      </c>
      <c r="R54" s="1" t="n">
        <f aca="false">(M54/O54)*100</f>
        <v>8.69565217391304</v>
      </c>
      <c r="S54" s="1" t="n">
        <f aca="false">(N54/O54)*100</f>
        <v>26.0869565217391</v>
      </c>
    </row>
    <row r="55" customFormat="false" ht="12.8" hidden="false" customHeight="false" outlineLevel="0" collapsed="false">
      <c r="A55" s="0" t="s">
        <v>31</v>
      </c>
      <c r="B55" s="0" t="s">
        <v>38</v>
      </c>
      <c r="C55" s="0" t="n">
        <v>5</v>
      </c>
      <c r="D55" s="0" t="n">
        <v>2</v>
      </c>
      <c r="E55" s="0" t="n">
        <v>1</v>
      </c>
      <c r="F55" s="0" t="n">
        <v>3</v>
      </c>
      <c r="G55" s="0" t="n">
        <v>0.641</v>
      </c>
      <c r="H55" s="0" t="n">
        <v>4</v>
      </c>
      <c r="K55" s="0" t="n">
        <f aca="false">C55*4</f>
        <v>20</v>
      </c>
      <c r="L55" s="0" t="n">
        <f aca="false">D55*1</f>
        <v>2</v>
      </c>
      <c r="M55" s="0" t="n">
        <f aca="false">E55*2</f>
        <v>2</v>
      </c>
      <c r="N55" s="0" t="n">
        <f aca="false">F55*2</f>
        <v>6</v>
      </c>
      <c r="O55" s="0" t="n">
        <f aca="false">(C55*4)+(D55*1)+(E55*2)+(F55*2)</f>
        <v>30</v>
      </c>
      <c r="P55" s="1" t="n">
        <f aca="false">(K55/O55)*100</f>
        <v>66.6666666666667</v>
      </c>
      <c r="Q55" s="1" t="n">
        <f aca="false">(L55/O55)*100</f>
        <v>6.66666666666667</v>
      </c>
      <c r="R55" s="1" t="n">
        <f aca="false">(M55/O55)*100</f>
        <v>6.66666666666667</v>
      </c>
      <c r="S55" s="1" t="n">
        <f aca="false">(N55/O55)*100</f>
        <v>20</v>
      </c>
    </row>
    <row r="56" customFormat="false" ht="12.8" hidden="false" customHeight="false" outlineLevel="0" collapsed="false">
      <c r="A56" s="0" t="s">
        <v>32</v>
      </c>
      <c r="B56" s="0" t="s">
        <v>38</v>
      </c>
      <c r="C56" s="0" t="n">
        <v>2</v>
      </c>
      <c r="D56" s="0" t="n">
        <v>2</v>
      </c>
      <c r="E56" s="0" t="n">
        <v>1</v>
      </c>
      <c r="F56" s="0" t="n">
        <v>3</v>
      </c>
      <c r="G56" s="0" t="n">
        <v>0</v>
      </c>
      <c r="H56" s="0" t="n">
        <v>1</v>
      </c>
      <c r="K56" s="0" t="n">
        <f aca="false">C56*4</f>
        <v>8</v>
      </c>
      <c r="L56" s="0" t="n">
        <f aca="false">D56*1</f>
        <v>2</v>
      </c>
      <c r="M56" s="0" t="n">
        <f aca="false">E56*2</f>
        <v>2</v>
      </c>
      <c r="N56" s="0" t="n">
        <f aca="false">F56*2</f>
        <v>6</v>
      </c>
      <c r="O56" s="0" t="n">
        <f aca="false">(C56*4)+(D56*1)+(E56*2)+(F56*2)</f>
        <v>18</v>
      </c>
      <c r="P56" s="1" t="n">
        <f aca="false">(K56/O56)*100</f>
        <v>44.4444444444444</v>
      </c>
      <c r="Q56" s="1" t="n">
        <f aca="false">(L56/O56)*100</f>
        <v>11.1111111111111</v>
      </c>
      <c r="R56" s="1" t="n">
        <f aca="false">(M56/O56)*100</f>
        <v>11.1111111111111</v>
      </c>
      <c r="S56" s="1" t="n">
        <f aca="false">(N56/O56)*100</f>
        <v>33.3333333333333</v>
      </c>
    </row>
    <row r="57" customFormat="false" ht="12.8" hidden="false" customHeight="false" outlineLevel="0" collapsed="false">
      <c r="A57" s="0" t="s">
        <v>33</v>
      </c>
      <c r="B57" s="0" t="s">
        <v>38</v>
      </c>
      <c r="C57" s="0" t="n">
        <v>2</v>
      </c>
      <c r="D57" s="0" t="n">
        <v>3</v>
      </c>
      <c r="E57" s="0" t="n">
        <v>1</v>
      </c>
      <c r="F57" s="0" t="n">
        <v>3</v>
      </c>
      <c r="G57" s="0" t="n">
        <v>0.069</v>
      </c>
      <c r="H57" s="0" t="n">
        <v>1</v>
      </c>
      <c r="K57" s="0" t="n">
        <f aca="false">C57*4</f>
        <v>8</v>
      </c>
      <c r="L57" s="0" t="n">
        <f aca="false">D57*1</f>
        <v>3</v>
      </c>
      <c r="M57" s="0" t="n">
        <f aca="false">E57*2</f>
        <v>2</v>
      </c>
      <c r="N57" s="0" t="n">
        <f aca="false">F57*2</f>
        <v>6</v>
      </c>
      <c r="O57" s="0" t="n">
        <f aca="false">(C57*4)+(D57*1)+(E57*2)+(F57*2)</f>
        <v>19</v>
      </c>
      <c r="P57" s="1" t="n">
        <f aca="false">(K57/O57)*100</f>
        <v>42.1052631578947</v>
      </c>
      <c r="Q57" s="1" t="n">
        <f aca="false">(L57/O57)*100</f>
        <v>15.7894736842105</v>
      </c>
      <c r="R57" s="1" t="n">
        <f aca="false">(M57/O57)*100</f>
        <v>10.5263157894737</v>
      </c>
      <c r="S57" s="1" t="n">
        <f aca="false">(N57/O57)*100</f>
        <v>31.5789473684211</v>
      </c>
    </row>
    <row r="58" customFormat="false" ht="12.8" hidden="false" customHeight="false" outlineLevel="0" collapsed="false">
      <c r="A58" s="0" t="s">
        <v>34</v>
      </c>
      <c r="B58" s="0" t="s">
        <v>38</v>
      </c>
      <c r="C58" s="0" t="n">
        <v>4</v>
      </c>
      <c r="D58" s="0" t="n">
        <v>2</v>
      </c>
      <c r="E58" s="0" t="n">
        <v>1</v>
      </c>
      <c r="F58" s="0" t="n">
        <v>3</v>
      </c>
      <c r="G58" s="0" t="n">
        <v>0.506</v>
      </c>
      <c r="H58" s="0" t="n">
        <v>3</v>
      </c>
      <c r="K58" s="0" t="n">
        <f aca="false">C58*4</f>
        <v>16</v>
      </c>
      <c r="L58" s="0" t="n">
        <f aca="false">D58*1</f>
        <v>2</v>
      </c>
      <c r="M58" s="0" t="n">
        <f aca="false">E58*2</f>
        <v>2</v>
      </c>
      <c r="N58" s="0" t="n">
        <f aca="false">F58*2</f>
        <v>6</v>
      </c>
      <c r="O58" s="0" t="n">
        <f aca="false">(C58*4)+(D58*1)+(E58*2)+(F58*2)</f>
        <v>26</v>
      </c>
      <c r="P58" s="1" t="n">
        <f aca="false">(K58/O58)*100</f>
        <v>61.5384615384615</v>
      </c>
      <c r="Q58" s="1" t="n">
        <f aca="false">(L58/O58)*100</f>
        <v>7.69230769230769</v>
      </c>
      <c r="R58" s="1" t="n">
        <f aca="false">(M58/O58)*100</f>
        <v>7.69230769230769</v>
      </c>
      <c r="S58" s="1" t="n">
        <f aca="false">(N58/O58)*100</f>
        <v>23.0769230769231</v>
      </c>
    </row>
    <row r="59" customFormat="false" ht="12.8" hidden="false" customHeight="false" outlineLevel="0" collapsed="false">
      <c r="A59" s="0" t="s">
        <v>35</v>
      </c>
      <c r="B59" s="0" t="s">
        <v>38</v>
      </c>
      <c r="C59" s="0" t="n">
        <v>2</v>
      </c>
      <c r="D59" s="0" t="n">
        <v>3</v>
      </c>
      <c r="E59" s="0" t="n">
        <v>1</v>
      </c>
      <c r="F59" s="0" t="n">
        <v>3</v>
      </c>
      <c r="G59" s="0" t="n">
        <v>0.069</v>
      </c>
      <c r="H59" s="0" t="n">
        <v>1</v>
      </c>
      <c r="K59" s="0" t="n">
        <f aca="false">C59*4</f>
        <v>8</v>
      </c>
      <c r="L59" s="0" t="n">
        <f aca="false">D59*1</f>
        <v>3</v>
      </c>
      <c r="M59" s="0" t="n">
        <f aca="false">E59*2</f>
        <v>2</v>
      </c>
      <c r="N59" s="0" t="n">
        <f aca="false">F59*2</f>
        <v>6</v>
      </c>
      <c r="O59" s="0" t="n">
        <f aca="false">(C59*4)+(D59*1)+(E59*2)+(F59*2)</f>
        <v>19</v>
      </c>
      <c r="P59" s="1" t="n">
        <f aca="false">(K59/O59)*100</f>
        <v>42.1052631578947</v>
      </c>
      <c r="Q59" s="1" t="n">
        <f aca="false">(L59/O59)*100</f>
        <v>15.7894736842105</v>
      </c>
      <c r="R59" s="1" t="n">
        <f aca="false">(M59/O59)*100</f>
        <v>10.5263157894737</v>
      </c>
      <c r="S59" s="1" t="n">
        <f aca="false">(N59/O59)*100</f>
        <v>31.5789473684211</v>
      </c>
    </row>
    <row r="60" customFormat="false" ht="12.8" hidden="false" customHeight="false" outlineLevel="0" collapsed="false">
      <c r="A60" s="0" t="s">
        <v>36</v>
      </c>
      <c r="B60" s="0" t="s">
        <v>38</v>
      </c>
      <c r="C60" s="0" t="n">
        <v>2</v>
      </c>
      <c r="D60" s="0" t="n">
        <v>2</v>
      </c>
      <c r="E60" s="0" t="n">
        <v>1</v>
      </c>
      <c r="F60" s="0" t="n">
        <v>3</v>
      </c>
      <c r="G60" s="0" t="n">
        <v>0</v>
      </c>
      <c r="H60" s="0" t="n">
        <v>1</v>
      </c>
      <c r="K60" s="0" t="n">
        <f aca="false">C60*4</f>
        <v>8</v>
      </c>
      <c r="L60" s="0" t="n">
        <f aca="false">D60*1</f>
        <v>2</v>
      </c>
      <c r="M60" s="0" t="n">
        <f aca="false">E60*2</f>
        <v>2</v>
      </c>
      <c r="N60" s="0" t="n">
        <f aca="false">F60*2</f>
        <v>6</v>
      </c>
      <c r="O60" s="0" t="n">
        <f aca="false">(C60*4)+(D60*1)+(E60*2)+(F60*2)</f>
        <v>18</v>
      </c>
      <c r="P60" s="1" t="n">
        <f aca="false">(K60/O60)*100</f>
        <v>44.4444444444444</v>
      </c>
      <c r="Q60" s="1" t="n">
        <f aca="false">(L60/O60)*100</f>
        <v>11.1111111111111</v>
      </c>
      <c r="R60" s="1" t="n">
        <f aca="false">(M60/O60)*100</f>
        <v>11.1111111111111</v>
      </c>
      <c r="S60" s="1" t="n">
        <f aca="false">(N60/O60)*100</f>
        <v>33.3333333333333</v>
      </c>
    </row>
    <row r="61" customFormat="false" ht="12.8" hidden="false" customHeight="false" outlineLevel="0" collapsed="false">
      <c r="A61" s="0" t="s">
        <v>37</v>
      </c>
      <c r="B61" s="0" t="s">
        <v>38</v>
      </c>
      <c r="C61" s="0" t="n">
        <v>2</v>
      </c>
      <c r="D61" s="0" t="n">
        <v>4</v>
      </c>
      <c r="E61" s="0" t="n">
        <v>1</v>
      </c>
      <c r="F61" s="0" t="n">
        <v>3</v>
      </c>
      <c r="G61" s="0" t="n">
        <v>0.129</v>
      </c>
      <c r="H61" s="0" t="n">
        <v>1</v>
      </c>
      <c r="K61" s="0" t="n">
        <f aca="false">C61*4</f>
        <v>8</v>
      </c>
      <c r="L61" s="0" t="n">
        <f aca="false">D61*1</f>
        <v>4</v>
      </c>
      <c r="M61" s="0" t="n">
        <f aca="false">E61*2</f>
        <v>2</v>
      </c>
      <c r="N61" s="0" t="n">
        <f aca="false">F61*2</f>
        <v>6</v>
      </c>
      <c r="O61" s="0" t="n">
        <f aca="false">(C61*4)+(D61*1)+(E61*2)+(F61*2)</f>
        <v>20</v>
      </c>
      <c r="P61" s="1" t="n">
        <f aca="false">(K61/O61)*100</f>
        <v>40</v>
      </c>
      <c r="Q61" s="1" t="n">
        <f aca="false">(L61/O61)*100</f>
        <v>20</v>
      </c>
      <c r="R61" s="1" t="n">
        <f aca="false">(M61/O61)*100</f>
        <v>10</v>
      </c>
      <c r="S61" s="1" t="n">
        <f aca="false">(N61/O61)*100</f>
        <v>30</v>
      </c>
    </row>
    <row r="62" customFormat="false" ht="12.8" hidden="false" customHeight="false" outlineLevel="0" collapsed="false">
      <c r="A62" s="0" t="s">
        <v>39</v>
      </c>
      <c r="B62" s="0" t="s">
        <v>8</v>
      </c>
      <c r="C62" s="2" t="n">
        <v>1</v>
      </c>
      <c r="D62" s="2" t="n">
        <v>2</v>
      </c>
      <c r="E62" s="2" t="n">
        <v>1</v>
      </c>
      <c r="F62" s="2" t="n">
        <v>3</v>
      </c>
      <c r="G62" s="2" t="n">
        <v>0.308</v>
      </c>
      <c r="H62" s="2" t="n">
        <v>2</v>
      </c>
      <c r="K62" s="0" t="n">
        <f aca="false">C62*4</f>
        <v>4</v>
      </c>
      <c r="L62" s="0" t="n">
        <f aca="false">D62*1</f>
        <v>2</v>
      </c>
      <c r="M62" s="0" t="n">
        <f aca="false">E62*2</f>
        <v>2</v>
      </c>
      <c r="N62" s="0" t="n">
        <f aca="false">F62*2</f>
        <v>6</v>
      </c>
      <c r="O62" s="0" t="n">
        <f aca="false">(C62*4)+(D62*1)+(E62*2)+(F62*2)</f>
        <v>14</v>
      </c>
      <c r="P62" s="1" t="n">
        <f aca="false">(K62/O62)*100</f>
        <v>28.5714285714286</v>
      </c>
      <c r="Q62" s="1" t="n">
        <f aca="false">(L62/O62)*100</f>
        <v>14.2857142857143</v>
      </c>
      <c r="R62" s="1" t="n">
        <f aca="false">(M62/O62)*100</f>
        <v>14.2857142857143</v>
      </c>
      <c r="S62" s="1" t="n">
        <f aca="false">(N62/O62)*100</f>
        <v>42.8571428571429</v>
      </c>
    </row>
    <row r="63" customFormat="false" ht="12.8" hidden="false" customHeight="false" outlineLevel="0" collapsed="false">
      <c r="A63" s="0" t="s">
        <v>40</v>
      </c>
      <c r="B63" s="0" t="s">
        <v>8</v>
      </c>
      <c r="C63" s="2" t="n">
        <v>3</v>
      </c>
      <c r="D63" s="2" t="n">
        <v>2</v>
      </c>
      <c r="E63" s="2" t="n">
        <v>1</v>
      </c>
      <c r="F63" s="2" t="n">
        <v>3</v>
      </c>
      <c r="G63" s="2" t="n">
        <v>0.492</v>
      </c>
      <c r="H63" s="2" t="n">
        <v>3</v>
      </c>
      <c r="K63" s="0" t="n">
        <f aca="false">C63*4</f>
        <v>12</v>
      </c>
      <c r="L63" s="0" t="n">
        <f aca="false">D63*1</f>
        <v>2</v>
      </c>
      <c r="M63" s="0" t="n">
        <f aca="false">E63*2</f>
        <v>2</v>
      </c>
      <c r="N63" s="0" t="n">
        <f aca="false">F63*2</f>
        <v>6</v>
      </c>
      <c r="O63" s="0" t="n">
        <f aca="false">(C63*4)+(D63*1)+(E63*2)+(F63*2)</f>
        <v>22</v>
      </c>
      <c r="P63" s="1" t="n">
        <f aca="false">(K63/O63)*100</f>
        <v>54.5454545454545</v>
      </c>
      <c r="Q63" s="1" t="n">
        <f aca="false">(L63/O63)*100</f>
        <v>9.09090909090909</v>
      </c>
      <c r="R63" s="1" t="n">
        <f aca="false">(M63/O63)*100</f>
        <v>9.09090909090909</v>
      </c>
      <c r="S63" s="1" t="n">
        <f aca="false">(N63/O63)*100</f>
        <v>27.2727272727273</v>
      </c>
    </row>
    <row r="64" customFormat="false" ht="12.8" hidden="false" customHeight="false" outlineLevel="0" collapsed="false">
      <c r="A64" s="0" t="s">
        <v>41</v>
      </c>
      <c r="B64" s="0" t="s">
        <v>8</v>
      </c>
      <c r="C64" s="2" t="n">
        <v>3</v>
      </c>
      <c r="D64" s="2" t="n">
        <v>4</v>
      </c>
      <c r="E64" s="2" t="n">
        <v>1</v>
      </c>
      <c r="F64" s="2" t="n">
        <v>3</v>
      </c>
      <c r="G64" s="2" t="n">
        <v>0.508</v>
      </c>
      <c r="H64" s="2" t="n">
        <v>3</v>
      </c>
      <c r="K64" s="0" t="n">
        <f aca="false">C64*4</f>
        <v>12</v>
      </c>
      <c r="L64" s="0" t="n">
        <f aca="false">D64*1</f>
        <v>4</v>
      </c>
      <c r="M64" s="0" t="n">
        <f aca="false">E64*2</f>
        <v>2</v>
      </c>
      <c r="N64" s="0" t="n">
        <f aca="false">F64*2</f>
        <v>6</v>
      </c>
      <c r="O64" s="0" t="n">
        <f aca="false">(C64*4)+(D64*1)+(E64*2)+(F64*2)</f>
        <v>24</v>
      </c>
      <c r="P64" s="1" t="n">
        <f aca="false">(K64/O64)*100</f>
        <v>50</v>
      </c>
      <c r="Q64" s="1" t="n">
        <f aca="false">(L64/O64)*100</f>
        <v>16.6666666666667</v>
      </c>
      <c r="R64" s="1" t="n">
        <f aca="false">(M64/O64)*100</f>
        <v>8.33333333333333</v>
      </c>
      <c r="S64" s="1" t="n">
        <f aca="false">(N64/O64)*100</f>
        <v>25</v>
      </c>
    </row>
    <row r="65" customFormat="false" ht="12.8" hidden="false" customHeight="false" outlineLevel="0" collapsed="false">
      <c r="A65" s="0" t="s">
        <v>42</v>
      </c>
      <c r="B65" s="0" t="s">
        <v>8</v>
      </c>
      <c r="C65" s="2" t="n">
        <v>5</v>
      </c>
      <c r="D65" s="2" t="n">
        <v>2</v>
      </c>
      <c r="E65" s="2" t="n">
        <v>1</v>
      </c>
      <c r="F65" s="2" t="n">
        <v>3</v>
      </c>
      <c r="G65" s="2" t="n">
        <v>0.677</v>
      </c>
      <c r="H65" s="2" t="n">
        <v>4</v>
      </c>
      <c r="K65" s="0" t="n">
        <f aca="false">C65*4</f>
        <v>20</v>
      </c>
      <c r="L65" s="0" t="n">
        <f aca="false">D65*1</f>
        <v>2</v>
      </c>
      <c r="M65" s="0" t="n">
        <f aca="false">E65*2</f>
        <v>2</v>
      </c>
      <c r="N65" s="0" t="n">
        <f aca="false">F65*2</f>
        <v>6</v>
      </c>
      <c r="O65" s="0" t="n">
        <f aca="false">(C65*4)+(D65*1)+(E65*2)+(F65*2)</f>
        <v>30</v>
      </c>
      <c r="P65" s="1" t="n">
        <f aca="false">(K65/O65)*100</f>
        <v>66.6666666666667</v>
      </c>
      <c r="Q65" s="1" t="n">
        <f aca="false">(L65/O65)*100</f>
        <v>6.66666666666667</v>
      </c>
      <c r="R65" s="1" t="n">
        <f aca="false">(M65/O65)*100</f>
        <v>6.66666666666667</v>
      </c>
      <c r="S65" s="1" t="n">
        <f aca="false">(N65/O65)*100</f>
        <v>20</v>
      </c>
    </row>
    <row r="66" customFormat="false" ht="12.8" hidden="false" customHeight="false" outlineLevel="0" collapsed="false">
      <c r="A66" s="0" t="s">
        <v>43</v>
      </c>
      <c r="B66" s="0" t="s">
        <v>8</v>
      </c>
      <c r="C66" s="2" t="n">
        <v>3</v>
      </c>
      <c r="D66" s="2" t="n">
        <v>3</v>
      </c>
      <c r="E66" s="2" t="n">
        <v>1</v>
      </c>
      <c r="F66" s="2" t="n">
        <v>3</v>
      </c>
      <c r="G66" s="2" t="n">
        <v>0.5</v>
      </c>
      <c r="H66" s="2" t="n">
        <v>3</v>
      </c>
      <c r="K66" s="0" t="n">
        <f aca="false">C66*4</f>
        <v>12</v>
      </c>
      <c r="L66" s="0" t="n">
        <f aca="false">D66*1</f>
        <v>3</v>
      </c>
      <c r="M66" s="0" t="n">
        <f aca="false">E66*2</f>
        <v>2</v>
      </c>
      <c r="N66" s="0" t="n">
        <f aca="false">F66*2</f>
        <v>6</v>
      </c>
      <c r="O66" s="0" t="n">
        <f aca="false">(C66*4)+(D66*1)+(E66*2)+(F66*2)</f>
        <v>23</v>
      </c>
      <c r="P66" s="1" t="n">
        <f aca="false">(K66/O66)*100</f>
        <v>52.1739130434783</v>
      </c>
      <c r="Q66" s="1" t="n">
        <f aca="false">(L66/O66)*100</f>
        <v>13.0434782608696</v>
      </c>
      <c r="R66" s="1" t="n">
        <f aca="false">(M66/O66)*100</f>
        <v>8.69565217391304</v>
      </c>
      <c r="S66" s="1" t="n">
        <f aca="false">(N66/O66)*100</f>
        <v>26.0869565217391</v>
      </c>
    </row>
    <row r="67" customFormat="false" ht="12.8" hidden="false" customHeight="false" outlineLevel="0" collapsed="false">
      <c r="A67" s="0" t="s">
        <v>44</v>
      </c>
      <c r="B67" s="0" t="s">
        <v>8</v>
      </c>
      <c r="C67" s="2" t="n">
        <v>2</v>
      </c>
      <c r="D67" s="2" t="n">
        <v>5</v>
      </c>
      <c r="E67" s="2" t="n">
        <v>1</v>
      </c>
      <c r="F67" s="2" t="n">
        <v>3</v>
      </c>
      <c r="G67" s="2" t="n">
        <v>0.405</v>
      </c>
      <c r="H67" s="2" t="n">
        <v>3</v>
      </c>
      <c r="K67" s="0" t="n">
        <f aca="false">C67*4</f>
        <v>8</v>
      </c>
      <c r="L67" s="0" t="n">
        <f aca="false">D67*1</f>
        <v>5</v>
      </c>
      <c r="M67" s="0" t="n">
        <f aca="false">E67*2</f>
        <v>2</v>
      </c>
      <c r="N67" s="0" t="n">
        <f aca="false">F67*2</f>
        <v>6</v>
      </c>
      <c r="O67" s="0" t="n">
        <f aca="false">(C67*4)+(D67*1)+(E67*2)+(F67*2)</f>
        <v>21</v>
      </c>
      <c r="P67" s="1" t="n">
        <f aca="false">(K67/O67)*100</f>
        <v>38.0952380952381</v>
      </c>
      <c r="Q67" s="1" t="n">
        <f aca="false">(L67/O67)*100</f>
        <v>23.8095238095238</v>
      </c>
      <c r="R67" s="1" t="n">
        <f aca="false">(M67/O67)*100</f>
        <v>9.52380952380952</v>
      </c>
      <c r="S67" s="1" t="n">
        <f aca="false">(N67/O67)*100</f>
        <v>28.5714285714286</v>
      </c>
    </row>
    <row r="68" customFormat="false" ht="12.8" hidden="false" customHeight="false" outlineLevel="0" collapsed="false">
      <c r="A68" s="0" t="s">
        <v>45</v>
      </c>
      <c r="B68" s="0" t="s">
        <v>8</v>
      </c>
      <c r="C68" s="2" t="n">
        <v>3</v>
      </c>
      <c r="D68" s="2" t="n">
        <v>2</v>
      </c>
      <c r="E68" s="2" t="n">
        <v>1</v>
      </c>
      <c r="F68" s="2" t="n">
        <v>3</v>
      </c>
      <c r="G68" s="2" t="n">
        <v>0.492</v>
      </c>
      <c r="H68" s="2" t="n">
        <v>3</v>
      </c>
      <c r="K68" s="0" t="n">
        <f aca="false">C68*4</f>
        <v>12</v>
      </c>
      <c r="L68" s="0" t="n">
        <f aca="false">D68*1</f>
        <v>2</v>
      </c>
      <c r="M68" s="0" t="n">
        <f aca="false">E68*2</f>
        <v>2</v>
      </c>
      <c r="N68" s="0" t="n">
        <f aca="false">F68*2</f>
        <v>6</v>
      </c>
      <c r="O68" s="0" t="n">
        <f aca="false">(C68*4)+(D68*1)+(E68*2)+(F68*2)</f>
        <v>22</v>
      </c>
      <c r="P68" s="1" t="n">
        <f aca="false">(K68/O68)*100</f>
        <v>54.5454545454545</v>
      </c>
      <c r="Q68" s="1" t="n">
        <f aca="false">(L68/O68)*100</f>
        <v>9.09090909090909</v>
      </c>
      <c r="R68" s="1" t="n">
        <f aca="false">(M68/O68)*100</f>
        <v>9.09090909090909</v>
      </c>
      <c r="S68" s="1" t="n">
        <f aca="false">(N68/O68)*100</f>
        <v>27.2727272727273</v>
      </c>
    </row>
    <row r="69" customFormat="false" ht="12.8" hidden="false" customHeight="false" outlineLevel="0" collapsed="false">
      <c r="A69" s="0" t="s">
        <v>46</v>
      </c>
      <c r="B69" s="0" t="s">
        <v>8</v>
      </c>
      <c r="C69" s="2" t="n">
        <v>2</v>
      </c>
      <c r="D69" s="2" t="n">
        <v>2</v>
      </c>
      <c r="E69" s="2" t="n">
        <v>3</v>
      </c>
      <c r="F69" s="2" t="n">
        <v>3</v>
      </c>
      <c r="G69" s="2" t="n">
        <v>0.431</v>
      </c>
      <c r="H69" s="2" t="n">
        <v>3</v>
      </c>
      <c r="K69" s="0" t="n">
        <f aca="false">C69*4</f>
        <v>8</v>
      </c>
      <c r="L69" s="0" t="n">
        <f aca="false">D69*1</f>
        <v>2</v>
      </c>
      <c r="M69" s="0" t="n">
        <f aca="false">E69*2</f>
        <v>6</v>
      </c>
      <c r="N69" s="0" t="n">
        <f aca="false">F69*2</f>
        <v>6</v>
      </c>
      <c r="O69" s="0" t="n">
        <f aca="false">(C69*4)+(D69*1)+(E69*2)+(F69*2)</f>
        <v>22</v>
      </c>
      <c r="P69" s="1" t="n">
        <f aca="false">(K69/O69)*100</f>
        <v>36.3636363636364</v>
      </c>
      <c r="Q69" s="1" t="n">
        <f aca="false">(L69/O69)*100</f>
        <v>9.09090909090909</v>
      </c>
      <c r="R69" s="1" t="n">
        <f aca="false">(M69/O69)*100</f>
        <v>27.2727272727273</v>
      </c>
      <c r="S69" s="1" t="n">
        <f aca="false">(N69/O69)*100</f>
        <v>27.2727272727273</v>
      </c>
    </row>
    <row r="70" customFormat="false" ht="12.8" hidden="false" customHeight="false" outlineLevel="0" collapsed="false">
      <c r="A70" s="0" t="s">
        <v>47</v>
      </c>
      <c r="B70" s="0" t="s">
        <v>8</v>
      </c>
      <c r="C70" s="2" t="n">
        <v>2</v>
      </c>
      <c r="D70" s="2" t="n">
        <v>3</v>
      </c>
      <c r="E70" s="2" t="n">
        <v>1</v>
      </c>
      <c r="F70" s="2" t="n">
        <v>3</v>
      </c>
      <c r="G70" s="2" t="n">
        <v>0.386</v>
      </c>
      <c r="H70" s="2" t="n">
        <v>2</v>
      </c>
      <c r="K70" s="0" t="n">
        <f aca="false">C70*4</f>
        <v>8</v>
      </c>
      <c r="L70" s="0" t="n">
        <f aca="false">D70*1</f>
        <v>3</v>
      </c>
      <c r="M70" s="0" t="n">
        <f aca="false">E70*2</f>
        <v>2</v>
      </c>
      <c r="N70" s="0" t="n">
        <f aca="false">F70*2</f>
        <v>6</v>
      </c>
      <c r="O70" s="0" t="n">
        <f aca="false">(C70*4)+(D70*1)+(E70*2)+(F70*2)</f>
        <v>19</v>
      </c>
      <c r="P70" s="1" t="n">
        <f aca="false">(K70/O70)*100</f>
        <v>42.1052631578947</v>
      </c>
      <c r="Q70" s="1" t="n">
        <f aca="false">(L70/O70)*100</f>
        <v>15.7894736842105</v>
      </c>
      <c r="R70" s="1" t="n">
        <f aca="false">(M70/O70)*100</f>
        <v>10.5263157894737</v>
      </c>
      <c r="S70" s="1" t="n">
        <f aca="false">(N70/O70)*100</f>
        <v>31.5789473684211</v>
      </c>
    </row>
    <row r="71" customFormat="false" ht="12.8" hidden="false" customHeight="false" outlineLevel="0" collapsed="false">
      <c r="A71" s="0" t="s">
        <v>48</v>
      </c>
      <c r="B71" s="0" t="s">
        <v>8</v>
      </c>
      <c r="C71" s="2" t="n">
        <v>3</v>
      </c>
      <c r="D71" s="2" t="n">
        <v>2</v>
      </c>
      <c r="E71" s="2" t="n">
        <v>2</v>
      </c>
      <c r="F71" s="2" t="n">
        <v>3</v>
      </c>
      <c r="G71" s="2" t="n">
        <v>0.525</v>
      </c>
      <c r="H71" s="2" t="n">
        <v>3</v>
      </c>
      <c r="K71" s="0" t="n">
        <f aca="false">C71*4</f>
        <v>12</v>
      </c>
      <c r="L71" s="0" t="n">
        <f aca="false">D71*1</f>
        <v>2</v>
      </c>
      <c r="M71" s="0" t="n">
        <f aca="false">E71*2</f>
        <v>4</v>
      </c>
      <c r="N71" s="0" t="n">
        <f aca="false">F71*2</f>
        <v>6</v>
      </c>
      <c r="O71" s="0" t="n">
        <f aca="false">(C71*4)+(D71*1)+(E71*2)+(F71*2)</f>
        <v>24</v>
      </c>
      <c r="P71" s="1" t="n">
        <f aca="false">(K71/O71)*100</f>
        <v>50</v>
      </c>
      <c r="Q71" s="1" t="n">
        <f aca="false">(L71/O71)*100</f>
        <v>8.33333333333333</v>
      </c>
      <c r="R71" s="1" t="n">
        <f aca="false">(M71/O71)*100</f>
        <v>16.6666666666667</v>
      </c>
      <c r="S71" s="1" t="n">
        <f aca="false">(N71/O71)*100</f>
        <v>25</v>
      </c>
    </row>
    <row r="72" customFormat="false" ht="12.8" hidden="false" customHeight="false" outlineLevel="0" collapsed="false">
      <c r="A72" s="0" t="s">
        <v>49</v>
      </c>
      <c r="B72" s="0" t="s">
        <v>8</v>
      </c>
      <c r="C72" s="2" t="n">
        <v>3</v>
      </c>
      <c r="D72" s="2" t="n">
        <v>4</v>
      </c>
      <c r="E72" s="2" t="n">
        <v>2</v>
      </c>
      <c r="F72" s="2" t="n">
        <v>3</v>
      </c>
      <c r="G72" s="2" t="n">
        <v>0.542</v>
      </c>
      <c r="H72" s="2" t="n">
        <v>3</v>
      </c>
      <c r="K72" s="0" t="n">
        <f aca="false">C72*4</f>
        <v>12</v>
      </c>
      <c r="L72" s="0" t="n">
        <f aca="false">D72*1</f>
        <v>4</v>
      </c>
      <c r="M72" s="0" t="n">
        <f aca="false">E72*2</f>
        <v>4</v>
      </c>
      <c r="N72" s="0" t="n">
        <f aca="false">F72*2</f>
        <v>6</v>
      </c>
      <c r="O72" s="0" t="n">
        <f aca="false">(C72*4)+(D72*1)+(E72*2)+(F72*2)</f>
        <v>26</v>
      </c>
      <c r="P72" s="1" t="n">
        <f aca="false">(K72/O72)*100</f>
        <v>46.1538461538462</v>
      </c>
      <c r="Q72" s="1" t="n">
        <f aca="false">(L72/O72)*100</f>
        <v>15.3846153846154</v>
      </c>
      <c r="R72" s="1" t="n">
        <f aca="false">(M72/O72)*100</f>
        <v>15.3846153846154</v>
      </c>
      <c r="S72" s="1" t="n">
        <f aca="false">(N72/O72)*100</f>
        <v>23.0769230769231</v>
      </c>
    </row>
    <row r="73" customFormat="false" ht="12.8" hidden="false" customHeight="false" outlineLevel="0" collapsed="false">
      <c r="A73" s="0" t="s">
        <v>50</v>
      </c>
      <c r="B73" s="0" t="s">
        <v>8</v>
      </c>
      <c r="C73" s="2" t="n">
        <v>4</v>
      </c>
      <c r="D73" s="2" t="n">
        <v>4</v>
      </c>
      <c r="E73" s="2" t="n">
        <v>3</v>
      </c>
      <c r="F73" s="2" t="n">
        <v>3</v>
      </c>
      <c r="G73" s="2" t="n">
        <v>0.727</v>
      </c>
      <c r="H73" s="2" t="n">
        <v>4</v>
      </c>
      <c r="K73" s="0" t="n">
        <f aca="false">C73*4</f>
        <v>16</v>
      </c>
      <c r="L73" s="0" t="n">
        <f aca="false">D73*1</f>
        <v>4</v>
      </c>
      <c r="M73" s="0" t="n">
        <f aca="false">E73*2</f>
        <v>6</v>
      </c>
      <c r="N73" s="0" t="n">
        <f aca="false">F73*2</f>
        <v>6</v>
      </c>
      <c r="O73" s="0" t="n">
        <f aca="false">(C73*4)+(D73*1)+(E73*2)+(F73*2)</f>
        <v>32</v>
      </c>
      <c r="P73" s="1" t="n">
        <f aca="false">(K73/O73)*100</f>
        <v>50</v>
      </c>
      <c r="Q73" s="1" t="n">
        <f aca="false">(L73/O73)*100</f>
        <v>12.5</v>
      </c>
      <c r="R73" s="1" t="n">
        <f aca="false">(M73/O73)*100</f>
        <v>18.75</v>
      </c>
      <c r="S73" s="1" t="n">
        <f aca="false">(N73/O73)*100</f>
        <v>18.75</v>
      </c>
    </row>
    <row r="74" customFormat="false" ht="12.8" hidden="false" customHeight="false" outlineLevel="0" collapsed="false">
      <c r="A74" s="0" t="s">
        <v>51</v>
      </c>
      <c r="B74" s="0" t="s">
        <v>8</v>
      </c>
      <c r="C74" s="2" t="n">
        <v>2</v>
      </c>
      <c r="D74" s="2" t="n">
        <v>2</v>
      </c>
      <c r="E74" s="2" t="n">
        <v>1</v>
      </c>
      <c r="F74" s="2" t="n">
        <v>3</v>
      </c>
      <c r="G74" s="2" t="n">
        <v>0.379</v>
      </c>
      <c r="H74" s="2" t="n">
        <v>2</v>
      </c>
      <c r="K74" s="0" t="n">
        <f aca="false">C74*4</f>
        <v>8</v>
      </c>
      <c r="L74" s="0" t="n">
        <f aca="false">D74*1</f>
        <v>2</v>
      </c>
      <c r="M74" s="0" t="n">
        <f aca="false">E74*2</f>
        <v>2</v>
      </c>
      <c r="N74" s="0" t="n">
        <f aca="false">F74*2</f>
        <v>6</v>
      </c>
      <c r="O74" s="0" t="n">
        <f aca="false">(C74*4)+(D74*1)+(E74*2)+(F74*2)</f>
        <v>18</v>
      </c>
      <c r="P74" s="1" t="n">
        <f aca="false">(K74/O74)*100</f>
        <v>44.4444444444444</v>
      </c>
      <c r="Q74" s="1" t="n">
        <f aca="false">(L74/O74)*100</f>
        <v>11.1111111111111</v>
      </c>
      <c r="R74" s="1" t="n">
        <f aca="false">(M74/O74)*100</f>
        <v>11.1111111111111</v>
      </c>
      <c r="S74" s="1" t="n">
        <f aca="false">(N74/O74)*100</f>
        <v>33.3333333333333</v>
      </c>
    </row>
    <row r="75" customFormat="false" ht="12.8" hidden="false" customHeight="false" outlineLevel="0" collapsed="false">
      <c r="A75" s="0" t="s">
        <v>52</v>
      </c>
      <c r="B75" s="0" t="s">
        <v>8</v>
      </c>
      <c r="C75" s="2" t="n">
        <v>4</v>
      </c>
      <c r="D75" s="2" t="n">
        <v>3</v>
      </c>
      <c r="E75" s="2" t="n">
        <v>1</v>
      </c>
      <c r="F75" s="2" t="n">
        <v>3</v>
      </c>
      <c r="G75" s="2" t="n">
        <v>0.614</v>
      </c>
      <c r="H75" s="2" t="n">
        <v>4</v>
      </c>
      <c r="K75" s="0" t="n">
        <f aca="false">C75*4</f>
        <v>16</v>
      </c>
      <c r="L75" s="0" t="n">
        <f aca="false">D75*1</f>
        <v>3</v>
      </c>
      <c r="M75" s="0" t="n">
        <f aca="false">E75*2</f>
        <v>2</v>
      </c>
      <c r="N75" s="0" t="n">
        <f aca="false">F75*2</f>
        <v>6</v>
      </c>
      <c r="O75" s="0" t="n">
        <f aca="false">(C75*4)+(D75*1)+(E75*2)+(F75*2)</f>
        <v>27</v>
      </c>
      <c r="P75" s="1" t="n">
        <f aca="false">(K75/O75)*100</f>
        <v>59.2592592592593</v>
      </c>
      <c r="Q75" s="1" t="n">
        <f aca="false">(L75/O75)*100</f>
        <v>11.1111111111111</v>
      </c>
      <c r="R75" s="1" t="n">
        <f aca="false">(M75/O75)*100</f>
        <v>7.40740740740741</v>
      </c>
      <c r="S75" s="1" t="n">
        <f aca="false">(N75/O75)*100</f>
        <v>22.2222222222222</v>
      </c>
    </row>
    <row r="76" customFormat="false" ht="12.8" hidden="false" customHeight="false" outlineLevel="0" collapsed="false">
      <c r="A76" s="0" t="s">
        <v>53</v>
      </c>
      <c r="B76" s="0" t="s">
        <v>8</v>
      </c>
      <c r="C76" s="2" t="n">
        <v>4</v>
      </c>
      <c r="D76" s="2" t="n">
        <v>4</v>
      </c>
      <c r="E76" s="2" t="n">
        <v>3</v>
      </c>
      <c r="F76" s="2" t="n">
        <v>3</v>
      </c>
      <c r="G76" s="2" t="n">
        <v>0.727</v>
      </c>
      <c r="H76" s="2" t="n">
        <v>4</v>
      </c>
      <c r="K76" s="0" t="n">
        <f aca="false">C76*4</f>
        <v>16</v>
      </c>
      <c r="L76" s="0" t="n">
        <f aca="false">D76*1</f>
        <v>4</v>
      </c>
      <c r="M76" s="0" t="n">
        <f aca="false">E76*2</f>
        <v>6</v>
      </c>
      <c r="N76" s="0" t="n">
        <f aca="false">F76*2</f>
        <v>6</v>
      </c>
      <c r="O76" s="0" t="n">
        <f aca="false">(C76*4)+(D76*1)+(E76*2)+(F76*2)</f>
        <v>32</v>
      </c>
      <c r="P76" s="1" t="n">
        <f aca="false">(K76/O76)*100</f>
        <v>50</v>
      </c>
      <c r="Q76" s="1" t="n">
        <f aca="false">(L76/O76)*100</f>
        <v>12.5</v>
      </c>
      <c r="R76" s="1" t="n">
        <f aca="false">(M76/O76)*100</f>
        <v>18.75</v>
      </c>
      <c r="S76" s="1" t="n">
        <f aca="false">(N76/O76)*100</f>
        <v>18.75</v>
      </c>
    </row>
    <row r="77" customFormat="false" ht="12.8" hidden="false" customHeight="false" outlineLevel="0" collapsed="false">
      <c r="A77" s="0" t="s">
        <v>54</v>
      </c>
      <c r="B77" s="0" t="s">
        <v>8</v>
      </c>
      <c r="C77" s="2" t="n">
        <v>2</v>
      </c>
      <c r="D77" s="2" t="n">
        <v>3</v>
      </c>
      <c r="E77" s="2" t="n">
        <v>2</v>
      </c>
      <c r="F77" s="2" t="n">
        <v>1</v>
      </c>
      <c r="G77" s="2" t="n">
        <v>0.237</v>
      </c>
      <c r="H77" s="2" t="n">
        <v>2</v>
      </c>
      <c r="K77" s="0" t="n">
        <f aca="false">C77*4</f>
        <v>8</v>
      </c>
      <c r="L77" s="0" t="n">
        <f aca="false">D77*1</f>
        <v>3</v>
      </c>
      <c r="M77" s="0" t="n">
        <f aca="false">E77*2</f>
        <v>4</v>
      </c>
      <c r="N77" s="0" t="n">
        <f aca="false">F77*2</f>
        <v>2</v>
      </c>
      <c r="O77" s="0" t="n">
        <f aca="false">(C77*4)+(D77*1)+(E77*2)+(F77*2)</f>
        <v>17</v>
      </c>
      <c r="P77" s="1" t="n">
        <f aca="false">(K77/O77)*100</f>
        <v>47.0588235294118</v>
      </c>
      <c r="Q77" s="1" t="n">
        <f aca="false">(L77/O77)*100</f>
        <v>17.6470588235294</v>
      </c>
      <c r="R77" s="1" t="n">
        <f aca="false">(M77/O77)*100</f>
        <v>23.5294117647059</v>
      </c>
      <c r="S77" s="1" t="n">
        <f aca="false">(N77/O77)*100</f>
        <v>11.7647058823529</v>
      </c>
    </row>
    <row r="78" customFormat="false" ht="12.8" hidden="false" customHeight="false" outlineLevel="0" collapsed="false">
      <c r="A78" s="0" t="s">
        <v>55</v>
      </c>
      <c r="B78" s="0" t="s">
        <v>8</v>
      </c>
      <c r="C78" s="2" t="n">
        <v>4</v>
      </c>
      <c r="D78" s="2" t="n">
        <v>3</v>
      </c>
      <c r="E78" s="2" t="n">
        <v>4</v>
      </c>
      <c r="F78" s="2" t="n">
        <v>3</v>
      </c>
      <c r="G78" s="2" t="n">
        <v>0.763</v>
      </c>
      <c r="H78" s="2" t="n">
        <v>4</v>
      </c>
      <c r="K78" s="0" t="n">
        <f aca="false">C78*4</f>
        <v>16</v>
      </c>
      <c r="L78" s="0" t="n">
        <f aca="false">D78*1</f>
        <v>3</v>
      </c>
      <c r="M78" s="0" t="n">
        <f aca="false">E78*2</f>
        <v>8</v>
      </c>
      <c r="N78" s="0" t="n">
        <f aca="false">F78*2</f>
        <v>6</v>
      </c>
      <c r="O78" s="0" t="n">
        <f aca="false">(C78*4)+(D78*1)+(E78*2)+(F78*2)</f>
        <v>33</v>
      </c>
      <c r="P78" s="1" t="n">
        <f aca="false">(K78/O78)*100</f>
        <v>48.4848484848485</v>
      </c>
      <c r="Q78" s="1" t="n">
        <f aca="false">(L78/O78)*100</f>
        <v>9.09090909090909</v>
      </c>
      <c r="R78" s="1" t="n">
        <f aca="false">(M78/O78)*100</f>
        <v>24.2424242424242</v>
      </c>
      <c r="S78" s="1" t="n">
        <f aca="false">(N78/O78)*100</f>
        <v>18.1818181818182</v>
      </c>
    </row>
    <row r="79" customFormat="false" ht="12.8" hidden="false" customHeight="false" outlineLevel="0" collapsed="false">
      <c r="A79" s="0" t="s">
        <v>56</v>
      </c>
      <c r="B79" s="0" t="s">
        <v>8</v>
      </c>
      <c r="C79" s="2" t="n">
        <v>3</v>
      </c>
      <c r="D79" s="2" t="n">
        <v>3</v>
      </c>
      <c r="E79" s="2" t="n">
        <v>1</v>
      </c>
      <c r="F79" s="2" t="n">
        <v>3</v>
      </c>
      <c r="G79" s="2" t="n">
        <v>0.5</v>
      </c>
      <c r="H79" s="2" t="n">
        <v>3</v>
      </c>
      <c r="K79" s="0" t="n">
        <f aca="false">C79*4</f>
        <v>12</v>
      </c>
      <c r="L79" s="0" t="n">
        <f aca="false">D79*1</f>
        <v>3</v>
      </c>
      <c r="M79" s="0" t="n">
        <f aca="false">E79*2</f>
        <v>2</v>
      </c>
      <c r="N79" s="0" t="n">
        <f aca="false">F79*2</f>
        <v>6</v>
      </c>
      <c r="O79" s="0" t="n">
        <f aca="false">(C79*4)+(D79*1)+(E79*2)+(F79*2)</f>
        <v>23</v>
      </c>
      <c r="P79" s="1" t="n">
        <f aca="false">(K79/O79)*100</f>
        <v>52.1739130434783</v>
      </c>
      <c r="Q79" s="1" t="n">
        <f aca="false">(L79/O79)*100</f>
        <v>13.0434782608696</v>
      </c>
      <c r="R79" s="1" t="n">
        <f aca="false">(M79/O79)*100</f>
        <v>8.69565217391304</v>
      </c>
      <c r="S79" s="1" t="n">
        <f aca="false">(N79/O79)*100</f>
        <v>26.0869565217391</v>
      </c>
    </row>
    <row r="80" customFormat="false" ht="12.8" hidden="false" customHeight="false" outlineLevel="0" collapsed="false">
      <c r="A80" s="0" t="s">
        <v>57</v>
      </c>
      <c r="B80" s="0" t="s">
        <v>8</v>
      </c>
      <c r="C80" s="2" t="n">
        <v>3</v>
      </c>
      <c r="D80" s="2" t="n">
        <v>4</v>
      </c>
      <c r="E80" s="2" t="n">
        <v>1</v>
      </c>
      <c r="F80" s="2" t="n">
        <v>3</v>
      </c>
      <c r="G80" s="2" t="n">
        <v>0.508</v>
      </c>
      <c r="H80" s="2" t="n">
        <v>3</v>
      </c>
      <c r="K80" s="0" t="n">
        <f aca="false">C80*4</f>
        <v>12</v>
      </c>
      <c r="L80" s="0" t="n">
        <f aca="false">D80*1</f>
        <v>4</v>
      </c>
      <c r="M80" s="0" t="n">
        <f aca="false">E80*2</f>
        <v>2</v>
      </c>
      <c r="N80" s="0" t="n">
        <f aca="false">F80*2</f>
        <v>6</v>
      </c>
      <c r="O80" s="0" t="n">
        <f aca="false">(C80*4)+(D80*1)+(E80*2)+(F80*2)</f>
        <v>24</v>
      </c>
      <c r="P80" s="1" t="n">
        <f aca="false">(K80/O80)*100</f>
        <v>50</v>
      </c>
      <c r="Q80" s="1" t="n">
        <f aca="false">(L80/O80)*100</f>
        <v>16.6666666666667</v>
      </c>
      <c r="R80" s="1" t="n">
        <f aca="false">(M80/O80)*100</f>
        <v>8.33333333333333</v>
      </c>
      <c r="S80" s="1" t="n">
        <f aca="false">(N80/O80)*100</f>
        <v>25</v>
      </c>
    </row>
    <row r="81" customFormat="false" ht="12.8" hidden="false" customHeight="false" outlineLevel="0" collapsed="false">
      <c r="A81" s="0" t="s">
        <v>58</v>
      </c>
      <c r="B81" s="0" t="s">
        <v>8</v>
      </c>
      <c r="C81" s="2" t="n">
        <v>4</v>
      </c>
      <c r="D81" s="2" t="n">
        <v>4</v>
      </c>
      <c r="E81" s="2" t="n">
        <v>1</v>
      </c>
      <c r="F81" s="2" t="n">
        <v>2</v>
      </c>
      <c r="G81" s="2" t="n">
        <v>0.569</v>
      </c>
      <c r="H81" s="2" t="n">
        <v>3</v>
      </c>
      <c r="K81" s="0" t="n">
        <f aca="false">C81*4</f>
        <v>16</v>
      </c>
      <c r="L81" s="0" t="n">
        <f aca="false">D81*1</f>
        <v>4</v>
      </c>
      <c r="M81" s="0" t="n">
        <f aca="false">E81*2</f>
        <v>2</v>
      </c>
      <c r="N81" s="0" t="n">
        <f aca="false">F81*2</f>
        <v>4</v>
      </c>
      <c r="O81" s="0" t="n">
        <f aca="false">(C81*4)+(D81*1)+(E81*2)+(F81*2)</f>
        <v>26</v>
      </c>
      <c r="P81" s="1" t="n">
        <f aca="false">(K81/O81)*100</f>
        <v>61.5384615384615</v>
      </c>
      <c r="Q81" s="1" t="n">
        <f aca="false">(L81/O81)*100</f>
        <v>15.3846153846154</v>
      </c>
      <c r="R81" s="1" t="n">
        <f aca="false">(M81/O81)*100</f>
        <v>7.69230769230769</v>
      </c>
      <c r="S81" s="1" t="n">
        <f aca="false">(N81/O81)*100</f>
        <v>15.3846153846154</v>
      </c>
    </row>
    <row r="82" customFormat="false" ht="12.8" hidden="false" customHeight="false" outlineLevel="0" collapsed="false">
      <c r="A82" s="0" t="s">
        <v>59</v>
      </c>
      <c r="B82" s="0" t="s">
        <v>8</v>
      </c>
      <c r="C82" s="2" t="n">
        <v>4</v>
      </c>
      <c r="D82" s="2" t="n">
        <v>2</v>
      </c>
      <c r="E82" s="2" t="n">
        <v>4</v>
      </c>
      <c r="F82" s="2" t="n">
        <v>3</v>
      </c>
      <c r="G82" s="2" t="n">
        <v>0.744</v>
      </c>
      <c r="H82" s="2" t="n">
        <v>4</v>
      </c>
      <c r="K82" s="0" t="n">
        <f aca="false">C82*4</f>
        <v>16</v>
      </c>
      <c r="L82" s="0" t="n">
        <f aca="false">D82*1</f>
        <v>2</v>
      </c>
      <c r="M82" s="0" t="n">
        <f aca="false">E82*2</f>
        <v>8</v>
      </c>
      <c r="N82" s="0" t="n">
        <f aca="false">F82*2</f>
        <v>6</v>
      </c>
      <c r="O82" s="0" t="n">
        <f aca="false">(C82*4)+(D82*1)+(E82*2)+(F82*2)</f>
        <v>32</v>
      </c>
      <c r="P82" s="1" t="n">
        <f aca="false">(K82/O82)*100</f>
        <v>50</v>
      </c>
      <c r="Q82" s="1" t="n">
        <f aca="false">(L82/O82)*100</f>
        <v>6.25</v>
      </c>
      <c r="R82" s="1" t="n">
        <f aca="false">(M82/O82)*100</f>
        <v>25</v>
      </c>
      <c r="S82" s="1" t="n">
        <f aca="false">(N82/O82)*100</f>
        <v>18.75</v>
      </c>
    </row>
    <row r="83" customFormat="false" ht="12.8" hidden="false" customHeight="false" outlineLevel="0" collapsed="false">
      <c r="A83" s="0" t="s">
        <v>60</v>
      </c>
      <c r="B83" s="0" t="s">
        <v>8</v>
      </c>
      <c r="C83" s="2" t="n">
        <v>2</v>
      </c>
      <c r="D83" s="2" t="n">
        <v>4</v>
      </c>
      <c r="E83" s="2" t="n">
        <v>1</v>
      </c>
      <c r="F83" s="2" t="n">
        <v>1</v>
      </c>
      <c r="G83" s="2" t="n">
        <v>0.232</v>
      </c>
      <c r="H83" s="2" t="n">
        <v>2</v>
      </c>
      <c r="K83" s="0" t="n">
        <f aca="false">C83*4</f>
        <v>8</v>
      </c>
      <c r="L83" s="0" t="n">
        <f aca="false">D83*1</f>
        <v>4</v>
      </c>
      <c r="M83" s="0" t="n">
        <f aca="false">E83*2</f>
        <v>2</v>
      </c>
      <c r="N83" s="0" t="n">
        <f aca="false">F83*2</f>
        <v>2</v>
      </c>
      <c r="O83" s="0" t="n">
        <f aca="false">(C83*4)+(D83*1)+(E83*2)+(F83*2)</f>
        <v>16</v>
      </c>
      <c r="P83" s="1" t="n">
        <f aca="false">(K83/O83)*100</f>
        <v>50</v>
      </c>
      <c r="Q83" s="1" t="n">
        <f aca="false">(L83/O83)*100</f>
        <v>25</v>
      </c>
      <c r="R83" s="1" t="n">
        <f aca="false">(M83/O83)*100</f>
        <v>12.5</v>
      </c>
      <c r="S83" s="1" t="n">
        <f aca="false">(N83/O83)*100</f>
        <v>12.5</v>
      </c>
    </row>
    <row r="84" customFormat="false" ht="12.8" hidden="false" customHeight="false" outlineLevel="0" collapsed="false">
      <c r="A84" s="0" t="s">
        <v>61</v>
      </c>
      <c r="B84" s="0" t="s">
        <v>8</v>
      </c>
      <c r="C84" s="2" t="n">
        <v>2</v>
      </c>
      <c r="D84" s="2" t="n">
        <v>3</v>
      </c>
      <c r="E84" s="2" t="n">
        <v>3</v>
      </c>
      <c r="F84" s="2" t="n">
        <v>3</v>
      </c>
      <c r="G84" s="2" t="n">
        <v>0.438</v>
      </c>
      <c r="H84" s="2" t="n">
        <v>3</v>
      </c>
      <c r="K84" s="0" t="n">
        <f aca="false">C84*4</f>
        <v>8</v>
      </c>
      <c r="L84" s="0" t="n">
        <f aca="false">D84*1</f>
        <v>3</v>
      </c>
      <c r="M84" s="0" t="n">
        <f aca="false">E84*2</f>
        <v>6</v>
      </c>
      <c r="N84" s="0" t="n">
        <f aca="false">F84*2</f>
        <v>6</v>
      </c>
      <c r="O84" s="0" t="n">
        <f aca="false">(C84*4)+(D84*1)+(E84*2)+(F84*2)</f>
        <v>23</v>
      </c>
      <c r="P84" s="1" t="n">
        <f aca="false">(K84/O84)*100</f>
        <v>34.7826086956522</v>
      </c>
      <c r="Q84" s="1" t="n">
        <f aca="false">(L84/O84)*100</f>
        <v>13.0434782608696</v>
      </c>
      <c r="R84" s="1" t="n">
        <f aca="false">(M84/O84)*100</f>
        <v>26.0869565217391</v>
      </c>
      <c r="S84" s="1" t="n">
        <f aca="false">(N84/O84)*100</f>
        <v>26.0869565217391</v>
      </c>
    </row>
    <row r="85" customFormat="false" ht="12.8" hidden="false" customHeight="false" outlineLevel="0" collapsed="false">
      <c r="A85" s="0" t="s">
        <v>62</v>
      </c>
      <c r="B85" s="0" t="s">
        <v>8</v>
      </c>
      <c r="C85" s="2" t="n">
        <v>4</v>
      </c>
      <c r="D85" s="2" t="n">
        <v>3</v>
      </c>
      <c r="E85" s="2" t="n">
        <v>3</v>
      </c>
      <c r="F85" s="2" t="n">
        <v>3</v>
      </c>
      <c r="G85" s="2" t="n">
        <v>0.716</v>
      </c>
      <c r="H85" s="2" t="n">
        <v>4</v>
      </c>
      <c r="K85" s="0" t="n">
        <f aca="false">C85*4</f>
        <v>16</v>
      </c>
      <c r="L85" s="0" t="n">
        <f aca="false">D85*1</f>
        <v>3</v>
      </c>
      <c r="M85" s="0" t="n">
        <f aca="false">E85*2</f>
        <v>6</v>
      </c>
      <c r="N85" s="0" t="n">
        <f aca="false">F85*2</f>
        <v>6</v>
      </c>
      <c r="O85" s="0" t="n">
        <f aca="false">(C85*4)+(D85*1)+(E85*2)+(F85*2)</f>
        <v>31</v>
      </c>
      <c r="P85" s="1" t="n">
        <f aca="false">(K85/O85)*100</f>
        <v>51.6129032258065</v>
      </c>
      <c r="Q85" s="1" t="n">
        <f aca="false">(L85/O85)*100</f>
        <v>9.67741935483871</v>
      </c>
      <c r="R85" s="1" t="n">
        <f aca="false">(M85/O85)*100</f>
        <v>19.3548387096774</v>
      </c>
      <c r="S85" s="1" t="n">
        <f aca="false">(N85/O85)*100</f>
        <v>19.3548387096774</v>
      </c>
    </row>
    <row r="86" customFormat="false" ht="12.8" hidden="false" customHeight="false" outlineLevel="0" collapsed="false">
      <c r="A86" s="0" t="s">
        <v>63</v>
      </c>
      <c r="B86" s="0" t="s">
        <v>8</v>
      </c>
      <c r="C86" s="2" t="n">
        <v>3</v>
      </c>
      <c r="D86" s="2" t="n">
        <v>1</v>
      </c>
      <c r="E86" s="2" t="n">
        <v>1</v>
      </c>
      <c r="F86" s="2" t="n">
        <v>3</v>
      </c>
      <c r="G86" s="2" t="n">
        <v>0.485</v>
      </c>
      <c r="H86" s="2" t="n">
        <v>3</v>
      </c>
      <c r="K86" s="0" t="n">
        <f aca="false">C86*4</f>
        <v>12</v>
      </c>
      <c r="L86" s="0" t="n">
        <f aca="false">D86*1</f>
        <v>1</v>
      </c>
      <c r="M86" s="0" t="n">
        <f aca="false">E86*2</f>
        <v>2</v>
      </c>
      <c r="N86" s="0" t="n">
        <f aca="false">F86*2</f>
        <v>6</v>
      </c>
      <c r="O86" s="0" t="n">
        <f aca="false">(C86*4)+(D86*1)+(E86*2)+(F86*2)</f>
        <v>21</v>
      </c>
      <c r="P86" s="1" t="n">
        <f aca="false">(K86/O86)*100</f>
        <v>57.1428571428571</v>
      </c>
      <c r="Q86" s="1" t="n">
        <f aca="false">(L86/O86)*100</f>
        <v>4.76190476190476</v>
      </c>
      <c r="R86" s="1" t="n">
        <f aca="false">(M86/O86)*100</f>
        <v>9.52380952380952</v>
      </c>
      <c r="S86" s="1" t="n">
        <f aca="false">(N86/O86)*100</f>
        <v>28.5714285714286</v>
      </c>
    </row>
    <row r="87" customFormat="false" ht="12.8" hidden="false" customHeight="false" outlineLevel="0" collapsed="false">
      <c r="A87" s="0" t="s">
        <v>64</v>
      </c>
      <c r="B87" s="0" t="s">
        <v>8</v>
      </c>
      <c r="C87" s="2" t="n">
        <v>3</v>
      </c>
      <c r="D87" s="2" t="n">
        <v>3</v>
      </c>
      <c r="E87" s="2" t="n">
        <v>1</v>
      </c>
      <c r="F87" s="2" t="n">
        <v>3</v>
      </c>
      <c r="G87" s="2" t="n">
        <v>0.5</v>
      </c>
      <c r="H87" s="2" t="n">
        <v>3</v>
      </c>
      <c r="K87" s="0" t="n">
        <f aca="false">C87*4</f>
        <v>12</v>
      </c>
      <c r="L87" s="0" t="n">
        <f aca="false">D87*1</f>
        <v>3</v>
      </c>
      <c r="M87" s="0" t="n">
        <f aca="false">E87*2</f>
        <v>2</v>
      </c>
      <c r="N87" s="0" t="n">
        <f aca="false">F87*2</f>
        <v>6</v>
      </c>
      <c r="O87" s="0" t="n">
        <f aca="false">(C87*4)+(D87*1)+(E87*2)+(F87*2)</f>
        <v>23</v>
      </c>
      <c r="P87" s="1" t="n">
        <f aca="false">(K87/O87)*100</f>
        <v>52.1739130434783</v>
      </c>
      <c r="Q87" s="1" t="n">
        <f aca="false">(L87/O87)*100</f>
        <v>13.0434782608696</v>
      </c>
      <c r="R87" s="1" t="n">
        <f aca="false">(M87/O87)*100</f>
        <v>8.69565217391304</v>
      </c>
      <c r="S87" s="1" t="n">
        <f aca="false">(N87/O87)*100</f>
        <v>26.0869565217391</v>
      </c>
    </row>
    <row r="88" customFormat="false" ht="12.8" hidden="false" customHeight="false" outlineLevel="0" collapsed="false">
      <c r="A88" s="0" t="s">
        <v>65</v>
      </c>
      <c r="B88" s="0" t="s">
        <v>8</v>
      </c>
      <c r="C88" s="2" t="n">
        <v>4</v>
      </c>
      <c r="D88" s="2" t="n">
        <v>5</v>
      </c>
      <c r="E88" s="2" t="n">
        <v>1</v>
      </c>
      <c r="F88" s="2" t="n">
        <v>3</v>
      </c>
      <c r="G88" s="2" t="n">
        <v>0.626</v>
      </c>
      <c r="H88" s="2" t="n">
        <v>4</v>
      </c>
      <c r="K88" s="0" t="n">
        <f aca="false">C88*4</f>
        <v>16</v>
      </c>
      <c r="L88" s="0" t="n">
        <f aca="false">D88*1</f>
        <v>5</v>
      </c>
      <c r="M88" s="0" t="n">
        <f aca="false">E88*2</f>
        <v>2</v>
      </c>
      <c r="N88" s="0" t="n">
        <f aca="false">F88*2</f>
        <v>6</v>
      </c>
      <c r="O88" s="0" t="n">
        <f aca="false">(C88*4)+(D88*1)+(E88*2)+(F88*2)</f>
        <v>29</v>
      </c>
      <c r="P88" s="1" t="n">
        <f aca="false">(K88/O88)*100</f>
        <v>55.1724137931034</v>
      </c>
      <c r="Q88" s="1" t="n">
        <f aca="false">(L88/O88)*100</f>
        <v>17.2413793103448</v>
      </c>
      <c r="R88" s="1" t="n">
        <f aca="false">(M88/O88)*100</f>
        <v>6.89655172413793</v>
      </c>
      <c r="S88" s="1" t="n">
        <f aca="false">(N88/O88)*100</f>
        <v>20.6896551724138</v>
      </c>
    </row>
    <row r="89" customFormat="false" ht="12.8" hidden="false" customHeight="false" outlineLevel="0" collapsed="false">
      <c r="A89" s="0" t="s">
        <v>66</v>
      </c>
      <c r="B89" s="0" t="s">
        <v>8</v>
      </c>
      <c r="C89" s="2" t="n">
        <v>2</v>
      </c>
      <c r="D89" s="2" t="n">
        <v>3</v>
      </c>
      <c r="E89" s="2" t="n">
        <v>1</v>
      </c>
      <c r="F89" s="2" t="n">
        <v>3</v>
      </c>
      <c r="G89" s="2" t="n">
        <v>0.386</v>
      </c>
      <c r="H89" s="2" t="n">
        <v>2</v>
      </c>
      <c r="K89" s="0" t="n">
        <f aca="false">C89*4</f>
        <v>8</v>
      </c>
      <c r="L89" s="0" t="n">
        <f aca="false">D89*1</f>
        <v>3</v>
      </c>
      <c r="M89" s="0" t="n">
        <f aca="false">E89*2</f>
        <v>2</v>
      </c>
      <c r="N89" s="0" t="n">
        <f aca="false">F89*2</f>
        <v>6</v>
      </c>
      <c r="O89" s="0" t="n">
        <f aca="false">(C89*4)+(D89*1)+(E89*2)+(F89*2)</f>
        <v>19</v>
      </c>
      <c r="P89" s="1" t="n">
        <f aca="false">(K89/O89)*100</f>
        <v>42.1052631578947</v>
      </c>
      <c r="Q89" s="1" t="n">
        <f aca="false">(L89/O89)*100</f>
        <v>15.7894736842105</v>
      </c>
      <c r="R89" s="1" t="n">
        <f aca="false">(M89/O89)*100</f>
        <v>10.5263157894737</v>
      </c>
      <c r="S89" s="1" t="n">
        <f aca="false">(N89/O89)*100</f>
        <v>31.5789473684211</v>
      </c>
    </row>
    <row r="90" customFormat="false" ht="12.8" hidden="false" customHeight="false" outlineLevel="0" collapsed="false">
      <c r="A90" s="0" t="s">
        <v>67</v>
      </c>
      <c r="B90" s="0" t="s">
        <v>8</v>
      </c>
      <c r="C90" s="2" t="n">
        <v>3</v>
      </c>
      <c r="D90" s="2" t="n">
        <v>2</v>
      </c>
      <c r="E90" s="2" t="n">
        <v>1</v>
      </c>
      <c r="F90" s="2" t="n">
        <v>3</v>
      </c>
      <c r="G90" s="2" t="n">
        <v>0.492</v>
      </c>
      <c r="H90" s="2" t="n">
        <v>3</v>
      </c>
      <c r="K90" s="0" t="n">
        <f aca="false">C90*4</f>
        <v>12</v>
      </c>
      <c r="L90" s="0" t="n">
        <f aca="false">D90*1</f>
        <v>2</v>
      </c>
      <c r="M90" s="0" t="n">
        <f aca="false">E90*2</f>
        <v>2</v>
      </c>
      <c r="N90" s="0" t="n">
        <f aca="false">F90*2</f>
        <v>6</v>
      </c>
      <c r="O90" s="0" t="n">
        <f aca="false">(C90*4)+(D90*1)+(E90*2)+(F90*2)</f>
        <v>22</v>
      </c>
      <c r="P90" s="1" t="n">
        <f aca="false">(K90/O90)*100</f>
        <v>54.5454545454545</v>
      </c>
      <c r="Q90" s="1" t="n">
        <f aca="false">(L90/O90)*100</f>
        <v>9.09090909090909</v>
      </c>
      <c r="R90" s="1" t="n">
        <f aca="false">(M90/O90)*100</f>
        <v>9.09090909090909</v>
      </c>
      <c r="S90" s="1" t="n">
        <f aca="false">(N90/O90)*100</f>
        <v>27.2727272727273</v>
      </c>
    </row>
    <row r="91" customFormat="false" ht="12.8" hidden="false" customHeight="false" outlineLevel="0" collapsed="false">
      <c r="A91" s="0" t="s">
        <v>68</v>
      </c>
      <c r="B91" s="0" t="s">
        <v>8</v>
      </c>
      <c r="C91" s="2" t="n">
        <v>5</v>
      </c>
      <c r="D91" s="2" t="n">
        <v>4</v>
      </c>
      <c r="E91" s="2" t="n">
        <v>3</v>
      </c>
      <c r="F91" s="2" t="n">
        <v>3</v>
      </c>
      <c r="G91" s="2" t="n">
        <v>0.818</v>
      </c>
      <c r="H91" s="2" t="n">
        <v>5</v>
      </c>
      <c r="K91" s="0" t="n">
        <f aca="false">C91*4</f>
        <v>20</v>
      </c>
      <c r="L91" s="0" t="n">
        <f aca="false">D91*1</f>
        <v>4</v>
      </c>
      <c r="M91" s="0" t="n">
        <f aca="false">E91*2</f>
        <v>6</v>
      </c>
      <c r="N91" s="0" t="n">
        <f aca="false">F91*2</f>
        <v>6</v>
      </c>
      <c r="O91" s="0" t="n">
        <f aca="false">(C91*4)+(D91*1)+(E91*2)+(F91*2)</f>
        <v>36</v>
      </c>
      <c r="P91" s="1" t="n">
        <f aca="false">(K91/O91)*100</f>
        <v>55.5555555555556</v>
      </c>
      <c r="Q91" s="1" t="n">
        <f aca="false">(L91/O91)*100</f>
        <v>11.1111111111111</v>
      </c>
      <c r="R91" s="1" t="n">
        <f aca="false">(M91/O91)*100</f>
        <v>16.6666666666667</v>
      </c>
      <c r="S91" s="1" t="n">
        <f aca="false">(N91/O91)*100</f>
        <v>16.6666666666667</v>
      </c>
    </row>
    <row r="92" customFormat="false" ht="12.8" hidden="false" customHeight="false" outlineLevel="0" collapsed="false">
      <c r="A92" s="0" t="s">
        <v>69</v>
      </c>
      <c r="B92" s="0" t="s">
        <v>8</v>
      </c>
      <c r="C92" s="2" t="n">
        <v>3</v>
      </c>
      <c r="D92" s="2" t="n">
        <v>2</v>
      </c>
      <c r="E92" s="2" t="n">
        <v>1</v>
      </c>
      <c r="F92" s="2" t="n">
        <v>3</v>
      </c>
      <c r="G92" s="2" t="n">
        <v>0.492</v>
      </c>
      <c r="H92" s="2" t="n">
        <v>3</v>
      </c>
      <c r="K92" s="0" t="n">
        <f aca="false">C92*4</f>
        <v>12</v>
      </c>
      <c r="L92" s="0" t="n">
        <f aca="false">D92*1</f>
        <v>2</v>
      </c>
      <c r="M92" s="0" t="n">
        <f aca="false">E92*2</f>
        <v>2</v>
      </c>
      <c r="N92" s="0" t="n">
        <f aca="false">F92*2</f>
        <v>6</v>
      </c>
      <c r="O92" s="0" t="n">
        <f aca="false">(C92*4)+(D92*1)+(E92*2)+(F92*2)</f>
        <v>22</v>
      </c>
      <c r="P92" s="1" t="n">
        <f aca="false">(K92/O92)*100</f>
        <v>54.5454545454545</v>
      </c>
      <c r="Q92" s="1" t="n">
        <f aca="false">(L92/O92)*100</f>
        <v>9.09090909090909</v>
      </c>
      <c r="R92" s="1" t="n">
        <f aca="false">(M92/O92)*100</f>
        <v>9.09090909090909</v>
      </c>
      <c r="S92" s="1" t="n">
        <f aca="false">(N92/O92)*100</f>
        <v>27.2727272727273</v>
      </c>
    </row>
    <row r="93" customFormat="false" ht="12.8" hidden="false" customHeight="false" outlineLevel="0" collapsed="false">
      <c r="A93" s="0" t="s">
        <v>70</v>
      </c>
      <c r="B93" s="0" t="s">
        <v>8</v>
      </c>
      <c r="C93" s="2" t="n">
        <v>1</v>
      </c>
      <c r="D93" s="2" t="n">
        <v>2</v>
      </c>
      <c r="E93" s="2" t="n">
        <v>1</v>
      </c>
      <c r="F93" s="2" t="n">
        <v>3</v>
      </c>
      <c r="G93" s="2" t="n">
        <v>0.308</v>
      </c>
      <c r="H93" s="2" t="n">
        <v>2</v>
      </c>
      <c r="K93" s="0" t="n">
        <f aca="false">C93*4</f>
        <v>4</v>
      </c>
      <c r="L93" s="0" t="n">
        <f aca="false">D93*1</f>
        <v>2</v>
      </c>
      <c r="M93" s="0" t="n">
        <f aca="false">E93*2</f>
        <v>2</v>
      </c>
      <c r="N93" s="0" t="n">
        <f aca="false">F93*2</f>
        <v>6</v>
      </c>
      <c r="O93" s="0" t="n">
        <f aca="false">(C93*4)+(D93*1)+(E93*2)+(F93*2)</f>
        <v>14</v>
      </c>
      <c r="P93" s="1" t="n">
        <f aca="false">(K93/O93)*100</f>
        <v>28.5714285714286</v>
      </c>
      <c r="Q93" s="1" t="n">
        <f aca="false">(L93/O93)*100</f>
        <v>14.2857142857143</v>
      </c>
      <c r="R93" s="1" t="n">
        <f aca="false">(M93/O93)*100</f>
        <v>14.2857142857143</v>
      </c>
      <c r="S93" s="1" t="n">
        <f aca="false">(N93/O93)*100</f>
        <v>42.8571428571429</v>
      </c>
    </row>
    <row r="94" customFormat="false" ht="12.8" hidden="false" customHeight="false" outlineLevel="0" collapsed="false">
      <c r="A94" s="0" t="s">
        <v>71</v>
      </c>
      <c r="B94" s="0" t="s">
        <v>8</v>
      </c>
      <c r="C94" s="2" t="n">
        <v>4</v>
      </c>
      <c r="D94" s="2" t="n">
        <v>4</v>
      </c>
      <c r="E94" s="2" t="n">
        <v>4</v>
      </c>
      <c r="F94" s="2" t="n">
        <v>3</v>
      </c>
      <c r="G94" s="2" t="n">
        <v>0.776</v>
      </c>
      <c r="H94" s="2" t="n">
        <v>4</v>
      </c>
      <c r="K94" s="0" t="n">
        <f aca="false">C94*4</f>
        <v>16</v>
      </c>
      <c r="L94" s="0" t="n">
        <f aca="false">D94*1</f>
        <v>4</v>
      </c>
      <c r="M94" s="0" t="n">
        <f aca="false">E94*2</f>
        <v>8</v>
      </c>
      <c r="N94" s="0" t="n">
        <f aca="false">F94*2</f>
        <v>6</v>
      </c>
      <c r="O94" s="0" t="n">
        <f aca="false">(C94*4)+(D94*1)+(E94*2)+(F94*2)</f>
        <v>34</v>
      </c>
      <c r="P94" s="1" t="n">
        <f aca="false">(K94/O94)*100</f>
        <v>47.0588235294118</v>
      </c>
      <c r="Q94" s="1" t="n">
        <f aca="false">(L94/O94)*100</f>
        <v>11.7647058823529</v>
      </c>
      <c r="R94" s="1" t="n">
        <f aca="false">(M94/O94)*100</f>
        <v>23.5294117647059</v>
      </c>
      <c r="S94" s="1" t="n">
        <f aca="false">(N94/O94)*100</f>
        <v>17.6470588235294</v>
      </c>
    </row>
    <row r="95" customFormat="false" ht="12.8" hidden="false" customHeight="false" outlineLevel="0" collapsed="false">
      <c r="A95" s="0" t="s">
        <v>72</v>
      </c>
      <c r="B95" s="0" t="s">
        <v>8</v>
      </c>
      <c r="C95" s="2" t="n">
        <v>3</v>
      </c>
      <c r="D95" s="2" t="n">
        <v>3</v>
      </c>
      <c r="E95" s="2" t="n">
        <v>5</v>
      </c>
      <c r="F95" s="2" t="n">
        <v>3</v>
      </c>
      <c r="G95" s="2" t="n">
        <v>0.629</v>
      </c>
      <c r="H95" s="2" t="n">
        <v>4</v>
      </c>
      <c r="K95" s="0" t="n">
        <f aca="false">C95*4</f>
        <v>12</v>
      </c>
      <c r="L95" s="0" t="n">
        <f aca="false">D95*1</f>
        <v>3</v>
      </c>
      <c r="M95" s="0" t="n">
        <f aca="false">E95*2</f>
        <v>10</v>
      </c>
      <c r="N95" s="0" t="n">
        <f aca="false">F95*2</f>
        <v>6</v>
      </c>
      <c r="O95" s="0" t="n">
        <f aca="false">(C95*4)+(D95*1)+(E95*2)+(F95*2)</f>
        <v>31</v>
      </c>
      <c r="P95" s="1" t="n">
        <f aca="false">(K95/O95)*100</f>
        <v>38.7096774193548</v>
      </c>
      <c r="Q95" s="1" t="n">
        <f aca="false">(L95/O95)*100</f>
        <v>9.67741935483871</v>
      </c>
      <c r="R95" s="1" t="n">
        <f aca="false">(M95/O95)*100</f>
        <v>32.258064516129</v>
      </c>
      <c r="S95" s="1" t="n">
        <f aca="false">(N95/O95)*100</f>
        <v>19.3548387096774</v>
      </c>
    </row>
    <row r="96" customFormat="false" ht="12.8" hidden="false" customHeight="false" outlineLevel="0" collapsed="false">
      <c r="A96" s="0" t="s">
        <v>73</v>
      </c>
      <c r="B96" s="0" t="s">
        <v>8</v>
      </c>
      <c r="C96" s="2" t="n">
        <v>4</v>
      </c>
      <c r="D96" s="2" t="n">
        <v>2</v>
      </c>
      <c r="E96" s="2" t="n">
        <v>1</v>
      </c>
      <c r="F96" s="2" t="n">
        <v>3</v>
      </c>
      <c r="G96" s="2" t="n">
        <v>0.605</v>
      </c>
      <c r="H96" s="2" t="n">
        <v>4</v>
      </c>
      <c r="K96" s="0" t="n">
        <f aca="false">C96*4</f>
        <v>16</v>
      </c>
      <c r="L96" s="0" t="n">
        <f aca="false">D96*1</f>
        <v>2</v>
      </c>
      <c r="M96" s="0" t="n">
        <f aca="false">E96*2</f>
        <v>2</v>
      </c>
      <c r="N96" s="0" t="n">
        <f aca="false">F96*2</f>
        <v>6</v>
      </c>
      <c r="O96" s="0" t="n">
        <f aca="false">(C96*4)+(D96*1)+(E96*2)+(F96*2)</f>
        <v>26</v>
      </c>
      <c r="P96" s="1" t="n">
        <f aca="false">(K96/O96)*100</f>
        <v>61.5384615384615</v>
      </c>
      <c r="Q96" s="1" t="n">
        <f aca="false">(L96/O96)*100</f>
        <v>7.69230769230769</v>
      </c>
      <c r="R96" s="1" t="n">
        <f aca="false">(M96/O96)*100</f>
        <v>7.69230769230769</v>
      </c>
      <c r="S96" s="1" t="n">
        <f aca="false">(N96/O96)*100</f>
        <v>23.0769230769231</v>
      </c>
    </row>
    <row r="97" customFormat="false" ht="12.8" hidden="false" customHeight="false" outlineLevel="0" collapsed="false">
      <c r="A97" s="0" t="s">
        <v>39</v>
      </c>
      <c r="B97" s="0" t="s">
        <v>38</v>
      </c>
      <c r="C97" s="2" t="n">
        <v>2</v>
      </c>
      <c r="D97" s="2" t="n">
        <v>2</v>
      </c>
      <c r="E97" s="2" t="n">
        <v>1</v>
      </c>
      <c r="F97" s="2" t="n">
        <v>3</v>
      </c>
      <c r="G97" s="2" t="n">
        <v>0.379</v>
      </c>
      <c r="H97" s="2" t="n">
        <v>2</v>
      </c>
      <c r="K97" s="0" t="n">
        <f aca="false">C97*4</f>
        <v>8</v>
      </c>
      <c r="L97" s="0" t="n">
        <f aca="false">D97*1</f>
        <v>2</v>
      </c>
      <c r="M97" s="0" t="n">
        <f aca="false">E97*2</f>
        <v>2</v>
      </c>
      <c r="N97" s="0" t="n">
        <f aca="false">F97*2</f>
        <v>6</v>
      </c>
      <c r="O97" s="0" t="n">
        <f aca="false">(C97*4)+(D97*1)+(E97*2)+(F97*2)</f>
        <v>18</v>
      </c>
      <c r="P97" s="1" t="n">
        <f aca="false">(K97/O97)*100</f>
        <v>44.4444444444444</v>
      </c>
      <c r="Q97" s="1" t="n">
        <f aca="false">(L97/O97)*100</f>
        <v>11.1111111111111</v>
      </c>
      <c r="R97" s="1" t="n">
        <f aca="false">(M97/O97)*100</f>
        <v>11.1111111111111</v>
      </c>
      <c r="S97" s="1" t="n">
        <f aca="false">(N97/O97)*100</f>
        <v>33.3333333333333</v>
      </c>
    </row>
    <row r="98" customFormat="false" ht="12.8" hidden="false" customHeight="false" outlineLevel="0" collapsed="false">
      <c r="A98" s="0" t="s">
        <v>40</v>
      </c>
      <c r="B98" s="0" t="s">
        <v>38</v>
      </c>
      <c r="C98" s="2" t="n">
        <v>3</v>
      </c>
      <c r="D98" s="2" t="n">
        <v>2</v>
      </c>
      <c r="E98" s="2" t="n">
        <v>1</v>
      </c>
      <c r="F98" s="2" t="n">
        <v>3</v>
      </c>
      <c r="G98" s="2" t="n">
        <v>0.492</v>
      </c>
      <c r="H98" s="2" t="n">
        <v>3</v>
      </c>
      <c r="K98" s="0" t="n">
        <f aca="false">C98*4</f>
        <v>12</v>
      </c>
      <c r="L98" s="0" t="n">
        <f aca="false">D98*1</f>
        <v>2</v>
      </c>
      <c r="M98" s="0" t="n">
        <f aca="false">E98*2</f>
        <v>2</v>
      </c>
      <c r="N98" s="0" t="n">
        <f aca="false">F98*2</f>
        <v>6</v>
      </c>
      <c r="O98" s="0" t="n">
        <f aca="false">(C98*4)+(D98*1)+(E98*2)+(F98*2)</f>
        <v>22</v>
      </c>
      <c r="P98" s="1" t="n">
        <f aca="false">(K98/O98)*100</f>
        <v>54.5454545454545</v>
      </c>
      <c r="Q98" s="1" t="n">
        <f aca="false">(L98/O98)*100</f>
        <v>9.09090909090909</v>
      </c>
      <c r="R98" s="1" t="n">
        <f aca="false">(M98/O98)*100</f>
        <v>9.09090909090909</v>
      </c>
      <c r="S98" s="1" t="n">
        <f aca="false">(N98/O98)*100</f>
        <v>27.2727272727273</v>
      </c>
    </row>
    <row r="99" customFormat="false" ht="12.8" hidden="false" customHeight="false" outlineLevel="0" collapsed="false">
      <c r="A99" s="0" t="s">
        <v>41</v>
      </c>
      <c r="B99" s="0" t="s">
        <v>38</v>
      </c>
      <c r="C99" s="2" t="n">
        <v>3</v>
      </c>
      <c r="D99" s="2" t="n">
        <v>4</v>
      </c>
      <c r="E99" s="2" t="n">
        <v>1</v>
      </c>
      <c r="F99" s="2" t="n">
        <v>3</v>
      </c>
      <c r="G99" s="2" t="n">
        <v>0.508</v>
      </c>
      <c r="H99" s="2" t="n">
        <v>3</v>
      </c>
      <c r="K99" s="0" t="n">
        <f aca="false">C99*4</f>
        <v>12</v>
      </c>
      <c r="L99" s="0" t="n">
        <f aca="false">D99*1</f>
        <v>4</v>
      </c>
      <c r="M99" s="0" t="n">
        <f aca="false">E99*2</f>
        <v>2</v>
      </c>
      <c r="N99" s="0" t="n">
        <f aca="false">F99*2</f>
        <v>6</v>
      </c>
      <c r="O99" s="0" t="n">
        <f aca="false">(C99*4)+(D99*1)+(E99*2)+(F99*2)</f>
        <v>24</v>
      </c>
      <c r="P99" s="1" t="n">
        <f aca="false">(K99/O99)*100</f>
        <v>50</v>
      </c>
      <c r="Q99" s="1" t="n">
        <f aca="false">(L99/O99)*100</f>
        <v>16.6666666666667</v>
      </c>
      <c r="R99" s="1" t="n">
        <f aca="false">(M99/O99)*100</f>
        <v>8.33333333333333</v>
      </c>
      <c r="S99" s="1" t="n">
        <f aca="false">(N99/O99)*100</f>
        <v>25</v>
      </c>
    </row>
    <row r="100" customFormat="false" ht="12.8" hidden="false" customHeight="false" outlineLevel="0" collapsed="false">
      <c r="A100" s="0" t="s">
        <v>42</v>
      </c>
      <c r="B100" s="0" t="s">
        <v>38</v>
      </c>
      <c r="C100" s="2" t="n">
        <v>4</v>
      </c>
      <c r="D100" s="2" t="n">
        <v>2</v>
      </c>
      <c r="E100" s="2" t="n">
        <v>1</v>
      </c>
      <c r="F100" s="2" t="n">
        <v>3</v>
      </c>
      <c r="G100" s="2" t="n">
        <v>0.605</v>
      </c>
      <c r="H100" s="2" t="n">
        <v>4</v>
      </c>
      <c r="K100" s="0" t="n">
        <f aca="false">C100*4</f>
        <v>16</v>
      </c>
      <c r="L100" s="0" t="n">
        <f aca="false">D100*1</f>
        <v>2</v>
      </c>
      <c r="M100" s="0" t="n">
        <f aca="false">E100*2</f>
        <v>2</v>
      </c>
      <c r="N100" s="0" t="n">
        <f aca="false">F100*2</f>
        <v>6</v>
      </c>
      <c r="O100" s="0" t="n">
        <f aca="false">(C100*4)+(D100*1)+(E100*2)+(F100*2)</f>
        <v>26</v>
      </c>
      <c r="P100" s="1" t="n">
        <f aca="false">(K100/O100)*100</f>
        <v>61.5384615384615</v>
      </c>
      <c r="Q100" s="1" t="n">
        <f aca="false">(L100/O100)*100</f>
        <v>7.69230769230769</v>
      </c>
      <c r="R100" s="1" t="n">
        <f aca="false">(M100/O100)*100</f>
        <v>7.69230769230769</v>
      </c>
      <c r="S100" s="1" t="n">
        <f aca="false">(N100/O100)*100</f>
        <v>23.0769230769231</v>
      </c>
    </row>
    <row r="101" customFormat="false" ht="12.8" hidden="false" customHeight="false" outlineLevel="0" collapsed="false">
      <c r="A101" s="0" t="s">
        <v>43</v>
      </c>
      <c r="B101" s="0" t="s">
        <v>38</v>
      </c>
      <c r="C101" s="2" t="n">
        <v>2</v>
      </c>
      <c r="D101" s="2" t="n">
        <v>3</v>
      </c>
      <c r="E101" s="2" t="n">
        <v>1</v>
      </c>
      <c r="F101" s="2" t="n">
        <v>3</v>
      </c>
      <c r="G101" s="2" t="n">
        <v>0.386</v>
      </c>
      <c r="H101" s="2" t="n">
        <v>2</v>
      </c>
      <c r="K101" s="0" t="n">
        <f aca="false">C101*4</f>
        <v>8</v>
      </c>
      <c r="L101" s="0" t="n">
        <f aca="false">D101*1</f>
        <v>3</v>
      </c>
      <c r="M101" s="0" t="n">
        <f aca="false">E101*2</f>
        <v>2</v>
      </c>
      <c r="N101" s="0" t="n">
        <f aca="false">F101*2</f>
        <v>6</v>
      </c>
      <c r="O101" s="0" t="n">
        <f aca="false">(C101*4)+(D101*1)+(E101*2)+(F101*2)</f>
        <v>19</v>
      </c>
      <c r="P101" s="1" t="n">
        <f aca="false">(K101/O101)*100</f>
        <v>42.1052631578947</v>
      </c>
      <c r="Q101" s="1" t="n">
        <f aca="false">(L101/O101)*100</f>
        <v>15.7894736842105</v>
      </c>
      <c r="R101" s="1" t="n">
        <f aca="false">(M101/O101)*100</f>
        <v>10.5263157894737</v>
      </c>
      <c r="S101" s="1" t="n">
        <f aca="false">(N101/O101)*100</f>
        <v>31.5789473684211</v>
      </c>
    </row>
    <row r="102" customFormat="false" ht="12.8" hidden="false" customHeight="false" outlineLevel="0" collapsed="false">
      <c r="A102" s="0" t="s">
        <v>44</v>
      </c>
      <c r="B102" s="0" t="s">
        <v>38</v>
      </c>
      <c r="C102" s="2" t="n">
        <v>3</v>
      </c>
      <c r="D102" s="2" t="n">
        <v>5</v>
      </c>
      <c r="E102" s="2" t="n">
        <v>1</v>
      </c>
      <c r="F102" s="2" t="n">
        <v>3</v>
      </c>
      <c r="G102" s="2" t="n">
        <v>0.515</v>
      </c>
      <c r="H102" s="2" t="n">
        <v>3</v>
      </c>
      <c r="K102" s="0" t="n">
        <f aca="false">C102*4</f>
        <v>12</v>
      </c>
      <c r="L102" s="0" t="n">
        <f aca="false">D102*1</f>
        <v>5</v>
      </c>
      <c r="M102" s="0" t="n">
        <f aca="false">E102*2</f>
        <v>2</v>
      </c>
      <c r="N102" s="0" t="n">
        <f aca="false">F102*2</f>
        <v>6</v>
      </c>
      <c r="O102" s="0" t="n">
        <f aca="false">(C102*4)+(D102*1)+(E102*2)+(F102*2)</f>
        <v>25</v>
      </c>
      <c r="P102" s="1" t="n">
        <f aca="false">(K102/O102)*100</f>
        <v>48</v>
      </c>
      <c r="Q102" s="1" t="n">
        <f aca="false">(L102/O102)*100</f>
        <v>20</v>
      </c>
      <c r="R102" s="1" t="n">
        <f aca="false">(M102/O102)*100</f>
        <v>8</v>
      </c>
      <c r="S102" s="1" t="n">
        <f aca="false">(N102/O102)*100</f>
        <v>24</v>
      </c>
    </row>
    <row r="103" customFormat="false" ht="12.8" hidden="false" customHeight="false" outlineLevel="0" collapsed="false">
      <c r="A103" s="0" t="s">
        <v>45</v>
      </c>
      <c r="B103" s="0" t="s">
        <v>38</v>
      </c>
      <c r="C103" s="2" t="n">
        <v>4</v>
      </c>
      <c r="D103" s="2" t="n">
        <v>2</v>
      </c>
      <c r="E103" s="2" t="n">
        <v>1</v>
      </c>
      <c r="F103" s="2" t="n">
        <v>3</v>
      </c>
      <c r="G103" s="2" t="n">
        <v>0.605</v>
      </c>
      <c r="H103" s="2" t="n">
        <v>4</v>
      </c>
      <c r="K103" s="0" t="n">
        <f aca="false">C103*4</f>
        <v>16</v>
      </c>
      <c r="L103" s="0" t="n">
        <f aca="false">D103*1</f>
        <v>2</v>
      </c>
      <c r="M103" s="0" t="n">
        <f aca="false">E103*2</f>
        <v>2</v>
      </c>
      <c r="N103" s="0" t="n">
        <f aca="false">F103*2</f>
        <v>6</v>
      </c>
      <c r="O103" s="0" t="n">
        <f aca="false">(C103*4)+(D103*1)+(E103*2)+(F103*2)</f>
        <v>26</v>
      </c>
      <c r="P103" s="1" t="n">
        <f aca="false">(K103/O103)*100</f>
        <v>61.5384615384615</v>
      </c>
      <c r="Q103" s="1" t="n">
        <f aca="false">(L103/O103)*100</f>
        <v>7.69230769230769</v>
      </c>
      <c r="R103" s="1" t="n">
        <f aca="false">(M103/O103)*100</f>
        <v>7.69230769230769</v>
      </c>
      <c r="S103" s="1" t="n">
        <f aca="false">(N103/O103)*100</f>
        <v>23.0769230769231</v>
      </c>
    </row>
    <row r="104" customFormat="false" ht="12.8" hidden="false" customHeight="false" outlineLevel="0" collapsed="false">
      <c r="A104" s="0" t="s">
        <v>46</v>
      </c>
      <c r="B104" s="0" t="s">
        <v>38</v>
      </c>
      <c r="C104" s="2" t="n">
        <v>2</v>
      </c>
      <c r="D104" s="2" t="n">
        <v>2</v>
      </c>
      <c r="E104" s="2" t="n">
        <v>3</v>
      </c>
      <c r="F104" s="2" t="n">
        <v>3</v>
      </c>
      <c r="G104" s="2" t="n">
        <v>0.431</v>
      </c>
      <c r="H104" s="2" t="n">
        <v>3</v>
      </c>
      <c r="K104" s="0" t="n">
        <f aca="false">C104*4</f>
        <v>8</v>
      </c>
      <c r="L104" s="0" t="n">
        <f aca="false">D104*1</f>
        <v>2</v>
      </c>
      <c r="M104" s="0" t="n">
        <f aca="false">E104*2</f>
        <v>6</v>
      </c>
      <c r="N104" s="0" t="n">
        <f aca="false">F104*2</f>
        <v>6</v>
      </c>
      <c r="O104" s="0" t="n">
        <f aca="false">(C104*4)+(D104*1)+(E104*2)+(F104*2)</f>
        <v>22</v>
      </c>
      <c r="P104" s="1" t="n">
        <f aca="false">(K104/O104)*100</f>
        <v>36.3636363636364</v>
      </c>
      <c r="Q104" s="1" t="n">
        <f aca="false">(L104/O104)*100</f>
        <v>9.09090909090909</v>
      </c>
      <c r="R104" s="1" t="n">
        <f aca="false">(M104/O104)*100</f>
        <v>27.2727272727273</v>
      </c>
      <c r="S104" s="1" t="n">
        <f aca="false">(N104/O104)*100</f>
        <v>27.2727272727273</v>
      </c>
    </row>
    <row r="105" customFormat="false" ht="12.8" hidden="false" customHeight="false" outlineLevel="0" collapsed="false">
      <c r="A105" s="0" t="s">
        <v>47</v>
      </c>
      <c r="B105" s="0" t="s">
        <v>38</v>
      </c>
      <c r="C105" s="2" t="n">
        <v>2</v>
      </c>
      <c r="D105" s="2" t="n">
        <v>3</v>
      </c>
      <c r="E105" s="2" t="n">
        <v>1</v>
      </c>
      <c r="F105" s="2" t="n">
        <v>3</v>
      </c>
      <c r="G105" s="2" t="n">
        <v>0.386</v>
      </c>
      <c r="H105" s="2" t="n">
        <v>2</v>
      </c>
      <c r="K105" s="0" t="n">
        <f aca="false">C105*4</f>
        <v>8</v>
      </c>
      <c r="L105" s="0" t="n">
        <f aca="false">D105*1</f>
        <v>3</v>
      </c>
      <c r="M105" s="0" t="n">
        <f aca="false">E105*2</f>
        <v>2</v>
      </c>
      <c r="N105" s="0" t="n">
        <f aca="false">F105*2</f>
        <v>6</v>
      </c>
      <c r="O105" s="0" t="n">
        <f aca="false">(C105*4)+(D105*1)+(E105*2)+(F105*2)</f>
        <v>19</v>
      </c>
      <c r="P105" s="1" t="n">
        <f aca="false">(K105/O105)*100</f>
        <v>42.1052631578947</v>
      </c>
      <c r="Q105" s="1" t="n">
        <f aca="false">(L105/O105)*100</f>
        <v>15.7894736842105</v>
      </c>
      <c r="R105" s="1" t="n">
        <f aca="false">(M105/O105)*100</f>
        <v>10.5263157894737</v>
      </c>
      <c r="S105" s="1" t="n">
        <f aca="false">(N105/O105)*100</f>
        <v>31.5789473684211</v>
      </c>
    </row>
    <row r="106" customFormat="false" ht="12.8" hidden="false" customHeight="false" outlineLevel="0" collapsed="false">
      <c r="A106" s="0" t="s">
        <v>48</v>
      </c>
      <c r="B106" s="0" t="s">
        <v>38</v>
      </c>
      <c r="C106" s="2" t="n">
        <v>4</v>
      </c>
      <c r="D106" s="2" t="n">
        <v>2</v>
      </c>
      <c r="E106" s="2" t="n">
        <v>2</v>
      </c>
      <c r="F106" s="2" t="n">
        <v>3</v>
      </c>
      <c r="G106" s="2" t="n">
        <v>0.651</v>
      </c>
      <c r="H106" s="2" t="n">
        <v>4</v>
      </c>
      <c r="K106" s="0" t="n">
        <f aca="false">C106*4</f>
        <v>16</v>
      </c>
      <c r="L106" s="0" t="n">
        <f aca="false">D106*1</f>
        <v>2</v>
      </c>
      <c r="M106" s="0" t="n">
        <f aca="false">E106*2</f>
        <v>4</v>
      </c>
      <c r="N106" s="0" t="n">
        <f aca="false">F106*2</f>
        <v>6</v>
      </c>
      <c r="O106" s="0" t="n">
        <f aca="false">(C106*4)+(D106*1)+(E106*2)+(F106*2)</f>
        <v>28</v>
      </c>
      <c r="P106" s="1" t="n">
        <f aca="false">(K106/O106)*100</f>
        <v>57.1428571428571</v>
      </c>
      <c r="Q106" s="1" t="n">
        <f aca="false">(L106/O106)*100</f>
        <v>7.14285714285714</v>
      </c>
      <c r="R106" s="1" t="n">
        <f aca="false">(M106/O106)*100</f>
        <v>14.2857142857143</v>
      </c>
      <c r="S106" s="1" t="n">
        <f aca="false">(N106/O106)*100</f>
        <v>21.4285714285714</v>
      </c>
    </row>
    <row r="107" customFormat="false" ht="12.8" hidden="false" customHeight="false" outlineLevel="0" collapsed="false">
      <c r="A107" s="0" t="s">
        <v>49</v>
      </c>
      <c r="B107" s="0" t="s">
        <v>38</v>
      </c>
      <c r="C107" s="2" t="n">
        <v>2</v>
      </c>
      <c r="D107" s="2" t="n">
        <v>4</v>
      </c>
      <c r="E107" s="2" t="n">
        <v>2</v>
      </c>
      <c r="F107" s="2" t="n">
        <v>1</v>
      </c>
      <c r="G107" s="2" t="n">
        <v>0.256</v>
      </c>
      <c r="H107" s="2" t="n">
        <v>2</v>
      </c>
      <c r="K107" s="0" t="n">
        <f aca="false">C107*4</f>
        <v>8</v>
      </c>
      <c r="L107" s="0" t="n">
        <f aca="false">D107*1</f>
        <v>4</v>
      </c>
      <c r="M107" s="0" t="n">
        <f aca="false">E107*2</f>
        <v>4</v>
      </c>
      <c r="N107" s="0" t="n">
        <f aca="false">F107*2</f>
        <v>2</v>
      </c>
      <c r="O107" s="0" t="n">
        <f aca="false">(C107*4)+(D107*1)+(E107*2)+(F107*2)</f>
        <v>18</v>
      </c>
      <c r="P107" s="1" t="n">
        <f aca="false">(K107/O107)*100</f>
        <v>44.4444444444444</v>
      </c>
      <c r="Q107" s="1" t="n">
        <f aca="false">(L107/O107)*100</f>
        <v>22.2222222222222</v>
      </c>
      <c r="R107" s="1" t="n">
        <f aca="false">(M107/O107)*100</f>
        <v>22.2222222222222</v>
      </c>
      <c r="S107" s="1" t="n">
        <f aca="false">(N107/O107)*100</f>
        <v>11.1111111111111</v>
      </c>
    </row>
    <row r="108" customFormat="false" ht="12.8" hidden="false" customHeight="false" outlineLevel="0" collapsed="false">
      <c r="A108" s="0" t="s">
        <v>50</v>
      </c>
      <c r="B108" s="0" t="s">
        <v>38</v>
      </c>
      <c r="C108" s="2" t="n">
        <v>5</v>
      </c>
      <c r="D108" s="2" t="n">
        <v>4</v>
      </c>
      <c r="E108" s="2" t="n">
        <v>3</v>
      </c>
      <c r="F108" s="2" t="n">
        <v>3</v>
      </c>
      <c r="G108" s="2" t="n">
        <v>0.818</v>
      </c>
      <c r="H108" s="2" t="n">
        <v>5</v>
      </c>
      <c r="K108" s="0" t="n">
        <f aca="false">C108*4</f>
        <v>20</v>
      </c>
      <c r="L108" s="0" t="n">
        <f aca="false">D108*1</f>
        <v>4</v>
      </c>
      <c r="M108" s="0" t="n">
        <f aca="false">E108*2</f>
        <v>6</v>
      </c>
      <c r="N108" s="0" t="n">
        <f aca="false">F108*2</f>
        <v>6</v>
      </c>
      <c r="O108" s="0" t="n">
        <f aca="false">(C108*4)+(D108*1)+(E108*2)+(F108*2)</f>
        <v>36</v>
      </c>
      <c r="P108" s="1" t="n">
        <f aca="false">(K108/O108)*100</f>
        <v>55.5555555555556</v>
      </c>
      <c r="Q108" s="1" t="n">
        <f aca="false">(L108/O108)*100</f>
        <v>11.1111111111111</v>
      </c>
      <c r="R108" s="1" t="n">
        <f aca="false">(M108/O108)*100</f>
        <v>16.6666666666667</v>
      </c>
      <c r="S108" s="1" t="n">
        <f aca="false">(N108/O108)*100</f>
        <v>16.6666666666667</v>
      </c>
    </row>
    <row r="109" customFormat="false" ht="12.8" hidden="false" customHeight="false" outlineLevel="0" collapsed="false">
      <c r="A109" s="0" t="s">
        <v>51</v>
      </c>
      <c r="B109" s="0" t="s">
        <v>38</v>
      </c>
      <c r="C109" s="2" t="n">
        <v>2</v>
      </c>
      <c r="D109" s="2" t="n">
        <v>2</v>
      </c>
      <c r="E109" s="2" t="n">
        <v>1</v>
      </c>
      <c r="F109" s="2" t="n">
        <v>3</v>
      </c>
      <c r="G109" s="2" t="n">
        <v>0.379</v>
      </c>
      <c r="H109" s="2" t="n">
        <v>2</v>
      </c>
      <c r="K109" s="0" t="n">
        <f aca="false">C109*4</f>
        <v>8</v>
      </c>
      <c r="L109" s="0" t="n">
        <f aca="false">D109*1</f>
        <v>2</v>
      </c>
      <c r="M109" s="0" t="n">
        <f aca="false">E109*2</f>
        <v>2</v>
      </c>
      <c r="N109" s="0" t="n">
        <f aca="false">F109*2</f>
        <v>6</v>
      </c>
      <c r="O109" s="0" t="n">
        <f aca="false">(C109*4)+(D109*1)+(E109*2)+(F109*2)</f>
        <v>18</v>
      </c>
      <c r="P109" s="1" t="n">
        <f aca="false">(K109/O109)*100</f>
        <v>44.4444444444444</v>
      </c>
      <c r="Q109" s="1" t="n">
        <f aca="false">(L109/O109)*100</f>
        <v>11.1111111111111</v>
      </c>
      <c r="R109" s="1" t="n">
        <f aca="false">(M109/O109)*100</f>
        <v>11.1111111111111</v>
      </c>
      <c r="S109" s="1" t="n">
        <f aca="false">(N109/O109)*100</f>
        <v>33.3333333333333</v>
      </c>
    </row>
    <row r="110" customFormat="false" ht="12.8" hidden="false" customHeight="false" outlineLevel="0" collapsed="false">
      <c r="A110" s="0" t="s">
        <v>52</v>
      </c>
      <c r="B110" s="0" t="s">
        <v>38</v>
      </c>
      <c r="C110" s="2" t="n">
        <v>3</v>
      </c>
      <c r="D110" s="2" t="n">
        <v>3</v>
      </c>
      <c r="E110" s="2" t="n">
        <v>1</v>
      </c>
      <c r="F110" s="2" t="n">
        <v>3</v>
      </c>
      <c r="G110" s="2" t="n">
        <v>0.5</v>
      </c>
      <c r="H110" s="2" t="n">
        <v>3</v>
      </c>
      <c r="K110" s="0" t="n">
        <f aca="false">C110*4</f>
        <v>12</v>
      </c>
      <c r="L110" s="0" t="n">
        <f aca="false">D110*1</f>
        <v>3</v>
      </c>
      <c r="M110" s="0" t="n">
        <f aca="false">E110*2</f>
        <v>2</v>
      </c>
      <c r="N110" s="0" t="n">
        <f aca="false">F110*2</f>
        <v>6</v>
      </c>
      <c r="O110" s="0" t="n">
        <f aca="false">(C110*4)+(D110*1)+(E110*2)+(F110*2)</f>
        <v>23</v>
      </c>
      <c r="P110" s="1" t="n">
        <f aca="false">(K110/O110)*100</f>
        <v>52.1739130434783</v>
      </c>
      <c r="Q110" s="1" t="n">
        <f aca="false">(L110/O110)*100</f>
        <v>13.0434782608696</v>
      </c>
      <c r="R110" s="1" t="n">
        <f aca="false">(M110/O110)*100</f>
        <v>8.69565217391304</v>
      </c>
      <c r="S110" s="1" t="n">
        <f aca="false">(N110/O110)*100</f>
        <v>26.0869565217391</v>
      </c>
    </row>
    <row r="111" customFormat="false" ht="12.8" hidden="false" customHeight="false" outlineLevel="0" collapsed="false">
      <c r="A111" s="0" t="s">
        <v>53</v>
      </c>
      <c r="B111" s="0" t="s">
        <v>38</v>
      </c>
      <c r="C111" s="2" t="n">
        <v>4</v>
      </c>
      <c r="D111" s="2" t="n">
        <v>4</v>
      </c>
      <c r="E111" s="2" t="n">
        <v>3</v>
      </c>
      <c r="F111" s="2" t="n">
        <v>3</v>
      </c>
      <c r="G111" s="2" t="n">
        <v>0.727</v>
      </c>
      <c r="H111" s="2" t="n">
        <v>4</v>
      </c>
      <c r="K111" s="0" t="n">
        <f aca="false">C111*4</f>
        <v>16</v>
      </c>
      <c r="L111" s="0" t="n">
        <f aca="false">D111*1</f>
        <v>4</v>
      </c>
      <c r="M111" s="0" t="n">
        <f aca="false">E111*2</f>
        <v>6</v>
      </c>
      <c r="N111" s="0" t="n">
        <f aca="false">F111*2</f>
        <v>6</v>
      </c>
      <c r="O111" s="0" t="n">
        <f aca="false">(C111*4)+(D111*1)+(E111*2)+(F111*2)</f>
        <v>32</v>
      </c>
      <c r="P111" s="1" t="n">
        <f aca="false">(K111/O111)*100</f>
        <v>50</v>
      </c>
      <c r="Q111" s="1" t="n">
        <f aca="false">(L111/O111)*100</f>
        <v>12.5</v>
      </c>
      <c r="R111" s="1" t="n">
        <f aca="false">(M111/O111)*100</f>
        <v>18.75</v>
      </c>
      <c r="S111" s="1" t="n">
        <f aca="false">(N111/O111)*100</f>
        <v>18.75</v>
      </c>
    </row>
    <row r="112" customFormat="false" ht="12.8" hidden="false" customHeight="false" outlineLevel="0" collapsed="false">
      <c r="A112" s="0" t="s">
        <v>54</v>
      </c>
      <c r="B112" s="0" t="s">
        <v>38</v>
      </c>
      <c r="C112" s="2" t="n">
        <v>3</v>
      </c>
      <c r="D112" s="2" t="n">
        <v>3</v>
      </c>
      <c r="E112" s="2" t="n">
        <v>2</v>
      </c>
      <c r="F112" s="2" t="n">
        <v>3</v>
      </c>
      <c r="G112" s="2" t="n">
        <v>0.533</v>
      </c>
      <c r="H112" s="2" t="n">
        <v>3</v>
      </c>
      <c r="K112" s="0" t="n">
        <f aca="false">C112*4</f>
        <v>12</v>
      </c>
      <c r="L112" s="0" t="n">
        <f aca="false">D112*1</f>
        <v>3</v>
      </c>
      <c r="M112" s="0" t="n">
        <f aca="false">E112*2</f>
        <v>4</v>
      </c>
      <c r="N112" s="0" t="n">
        <f aca="false">F112*2</f>
        <v>6</v>
      </c>
      <c r="O112" s="0" t="n">
        <f aca="false">(C112*4)+(D112*1)+(E112*2)+(F112*2)</f>
        <v>25</v>
      </c>
      <c r="P112" s="1" t="n">
        <f aca="false">(K112/O112)*100</f>
        <v>48</v>
      </c>
      <c r="Q112" s="1" t="n">
        <f aca="false">(L112/O112)*100</f>
        <v>12</v>
      </c>
      <c r="R112" s="1" t="n">
        <f aca="false">(M112/O112)*100</f>
        <v>16</v>
      </c>
      <c r="S112" s="1" t="n">
        <f aca="false">(N112/O112)*100</f>
        <v>24</v>
      </c>
    </row>
    <row r="113" customFormat="false" ht="12.8" hidden="false" customHeight="false" outlineLevel="0" collapsed="false">
      <c r="A113" s="0" t="s">
        <v>55</v>
      </c>
      <c r="B113" s="0" t="s">
        <v>38</v>
      </c>
      <c r="C113" s="2" t="n">
        <v>3</v>
      </c>
      <c r="D113" s="2" t="n">
        <v>3</v>
      </c>
      <c r="E113" s="2" t="n">
        <v>4</v>
      </c>
      <c r="F113" s="2" t="n">
        <v>3</v>
      </c>
      <c r="G113" s="2" t="n">
        <v>0.604</v>
      </c>
      <c r="H113" s="2" t="n">
        <v>4</v>
      </c>
      <c r="K113" s="0" t="n">
        <f aca="false">C113*4</f>
        <v>12</v>
      </c>
      <c r="L113" s="0" t="n">
        <f aca="false">D113*1</f>
        <v>3</v>
      </c>
      <c r="M113" s="0" t="n">
        <f aca="false">E113*2</f>
        <v>8</v>
      </c>
      <c r="N113" s="0" t="n">
        <f aca="false">F113*2</f>
        <v>6</v>
      </c>
      <c r="O113" s="0" t="n">
        <f aca="false">(C113*4)+(D113*1)+(E113*2)+(F113*2)</f>
        <v>29</v>
      </c>
      <c r="P113" s="1" t="n">
        <f aca="false">(K113/O113)*100</f>
        <v>41.3793103448276</v>
      </c>
      <c r="Q113" s="1" t="n">
        <f aca="false">(L113/O113)*100</f>
        <v>10.3448275862069</v>
      </c>
      <c r="R113" s="1" t="n">
        <f aca="false">(M113/O113)*100</f>
        <v>27.5862068965517</v>
      </c>
      <c r="S113" s="1" t="n">
        <f aca="false">(N113/O113)*100</f>
        <v>20.6896551724138</v>
      </c>
    </row>
    <row r="114" customFormat="false" ht="12.8" hidden="false" customHeight="false" outlineLevel="0" collapsed="false">
      <c r="A114" s="0" t="s">
        <v>56</v>
      </c>
      <c r="B114" s="0" t="s">
        <v>38</v>
      </c>
      <c r="C114" s="2" t="n">
        <v>4</v>
      </c>
      <c r="D114" s="2" t="n">
        <v>3</v>
      </c>
      <c r="E114" s="2" t="n">
        <v>1</v>
      </c>
      <c r="F114" s="2" t="n">
        <v>3</v>
      </c>
      <c r="G114" s="2" t="n">
        <v>0.614</v>
      </c>
      <c r="H114" s="2" t="n">
        <v>4</v>
      </c>
      <c r="K114" s="0" t="n">
        <f aca="false">C114*4</f>
        <v>16</v>
      </c>
      <c r="L114" s="0" t="n">
        <f aca="false">D114*1</f>
        <v>3</v>
      </c>
      <c r="M114" s="0" t="n">
        <f aca="false">E114*2</f>
        <v>2</v>
      </c>
      <c r="N114" s="0" t="n">
        <f aca="false">F114*2</f>
        <v>6</v>
      </c>
      <c r="O114" s="0" t="n">
        <f aca="false">(C114*4)+(D114*1)+(E114*2)+(F114*2)</f>
        <v>27</v>
      </c>
      <c r="P114" s="1" t="n">
        <f aca="false">(K114/O114)*100</f>
        <v>59.2592592592593</v>
      </c>
      <c r="Q114" s="1" t="n">
        <f aca="false">(L114/O114)*100</f>
        <v>11.1111111111111</v>
      </c>
      <c r="R114" s="1" t="n">
        <f aca="false">(M114/O114)*100</f>
        <v>7.40740740740741</v>
      </c>
      <c r="S114" s="1" t="n">
        <f aca="false">(N114/O114)*100</f>
        <v>22.2222222222222</v>
      </c>
    </row>
    <row r="115" customFormat="false" ht="12.8" hidden="false" customHeight="false" outlineLevel="0" collapsed="false">
      <c r="A115" s="0" t="s">
        <v>57</v>
      </c>
      <c r="B115" s="0" t="s">
        <v>38</v>
      </c>
      <c r="C115" s="2" t="n">
        <v>3</v>
      </c>
      <c r="D115" s="2" t="n">
        <v>4</v>
      </c>
      <c r="E115" s="2" t="n">
        <v>1</v>
      </c>
      <c r="F115" s="2" t="n">
        <v>3</v>
      </c>
      <c r="G115" s="2" t="n">
        <v>0.508</v>
      </c>
      <c r="H115" s="2" t="n">
        <v>3</v>
      </c>
      <c r="K115" s="0" t="n">
        <f aca="false">C115*4</f>
        <v>12</v>
      </c>
      <c r="L115" s="0" t="n">
        <f aca="false">D115*1</f>
        <v>4</v>
      </c>
      <c r="M115" s="0" t="n">
        <f aca="false">E115*2</f>
        <v>2</v>
      </c>
      <c r="N115" s="0" t="n">
        <f aca="false">F115*2</f>
        <v>6</v>
      </c>
      <c r="O115" s="0" t="n">
        <f aca="false">(C115*4)+(D115*1)+(E115*2)+(F115*2)</f>
        <v>24</v>
      </c>
      <c r="P115" s="1" t="n">
        <f aca="false">(K115/O115)*100</f>
        <v>50</v>
      </c>
      <c r="Q115" s="1" t="n">
        <f aca="false">(L115/O115)*100</f>
        <v>16.6666666666667</v>
      </c>
      <c r="R115" s="1" t="n">
        <f aca="false">(M115/O115)*100</f>
        <v>8.33333333333333</v>
      </c>
      <c r="S115" s="1" t="n">
        <f aca="false">(N115/O115)*100</f>
        <v>25</v>
      </c>
    </row>
    <row r="116" customFormat="false" ht="12.8" hidden="false" customHeight="false" outlineLevel="0" collapsed="false">
      <c r="A116" s="0" t="s">
        <v>58</v>
      </c>
      <c r="B116" s="0" t="s">
        <v>38</v>
      </c>
      <c r="C116" s="2" t="n">
        <v>2</v>
      </c>
      <c r="D116" s="2" t="n">
        <v>4</v>
      </c>
      <c r="E116" s="2" t="n">
        <v>1</v>
      </c>
      <c r="F116" s="2" t="n">
        <v>3</v>
      </c>
      <c r="G116" s="2" t="n">
        <v>0.395</v>
      </c>
      <c r="H116" s="2" t="n">
        <v>2</v>
      </c>
      <c r="K116" s="0" t="n">
        <f aca="false">C116*4</f>
        <v>8</v>
      </c>
      <c r="L116" s="0" t="n">
        <f aca="false">D116*1</f>
        <v>4</v>
      </c>
      <c r="M116" s="0" t="n">
        <f aca="false">E116*2</f>
        <v>2</v>
      </c>
      <c r="N116" s="0" t="n">
        <f aca="false">F116*2</f>
        <v>6</v>
      </c>
      <c r="O116" s="0" t="n">
        <f aca="false">(C116*4)+(D116*1)+(E116*2)+(F116*2)</f>
        <v>20</v>
      </c>
      <c r="P116" s="1" t="n">
        <f aca="false">(K116/O116)*100</f>
        <v>40</v>
      </c>
      <c r="Q116" s="1" t="n">
        <f aca="false">(L116/O116)*100</f>
        <v>20</v>
      </c>
      <c r="R116" s="1" t="n">
        <f aca="false">(M116/O116)*100</f>
        <v>10</v>
      </c>
      <c r="S116" s="1" t="n">
        <f aca="false">(N116/O116)*100</f>
        <v>30</v>
      </c>
    </row>
    <row r="117" customFormat="false" ht="12.8" hidden="false" customHeight="false" outlineLevel="0" collapsed="false">
      <c r="A117" s="0" t="s">
        <v>59</v>
      </c>
      <c r="B117" s="0" t="s">
        <v>38</v>
      </c>
      <c r="C117" s="2" t="n">
        <v>4</v>
      </c>
      <c r="D117" s="2" t="n">
        <v>2</v>
      </c>
      <c r="E117" s="2" t="n">
        <v>4</v>
      </c>
      <c r="F117" s="2" t="n">
        <v>3</v>
      </c>
      <c r="G117" s="2" t="n">
        <v>0.744</v>
      </c>
      <c r="H117" s="2" t="n">
        <v>4</v>
      </c>
      <c r="K117" s="0" t="n">
        <f aca="false">C117*4</f>
        <v>16</v>
      </c>
      <c r="L117" s="0" t="n">
        <f aca="false">D117*1</f>
        <v>2</v>
      </c>
      <c r="M117" s="0" t="n">
        <f aca="false">E117*2</f>
        <v>8</v>
      </c>
      <c r="N117" s="0" t="n">
        <f aca="false">F117*2</f>
        <v>6</v>
      </c>
      <c r="O117" s="0" t="n">
        <f aca="false">(C117*4)+(D117*1)+(E117*2)+(F117*2)</f>
        <v>32</v>
      </c>
      <c r="P117" s="1" t="n">
        <f aca="false">(K117/O117)*100</f>
        <v>50</v>
      </c>
      <c r="Q117" s="1" t="n">
        <f aca="false">(L117/O117)*100</f>
        <v>6.25</v>
      </c>
      <c r="R117" s="1" t="n">
        <f aca="false">(M117/O117)*100</f>
        <v>25</v>
      </c>
      <c r="S117" s="1" t="n">
        <f aca="false">(N117/O117)*100</f>
        <v>18.75</v>
      </c>
    </row>
    <row r="118" customFormat="false" ht="12.8" hidden="false" customHeight="false" outlineLevel="0" collapsed="false">
      <c r="A118" s="0" t="s">
        <v>60</v>
      </c>
      <c r="B118" s="0" t="s">
        <v>38</v>
      </c>
      <c r="C118" s="2" t="n">
        <v>3</v>
      </c>
      <c r="D118" s="2" t="n">
        <v>4</v>
      </c>
      <c r="E118" s="2" t="n">
        <v>1</v>
      </c>
      <c r="F118" s="2" t="n">
        <v>3</v>
      </c>
      <c r="G118" s="2" t="n">
        <v>0.508</v>
      </c>
      <c r="H118" s="2" t="n">
        <v>3</v>
      </c>
      <c r="K118" s="0" t="n">
        <f aca="false">C118*4</f>
        <v>12</v>
      </c>
      <c r="L118" s="0" t="n">
        <f aca="false">D118*1</f>
        <v>4</v>
      </c>
      <c r="M118" s="0" t="n">
        <f aca="false">E118*2</f>
        <v>2</v>
      </c>
      <c r="N118" s="0" t="n">
        <f aca="false">F118*2</f>
        <v>6</v>
      </c>
      <c r="O118" s="0" t="n">
        <f aca="false">(C118*4)+(D118*1)+(E118*2)+(F118*2)</f>
        <v>24</v>
      </c>
      <c r="P118" s="1" t="n">
        <f aca="false">(K118/O118)*100</f>
        <v>50</v>
      </c>
      <c r="Q118" s="1" t="n">
        <f aca="false">(L118/O118)*100</f>
        <v>16.6666666666667</v>
      </c>
      <c r="R118" s="1" t="n">
        <f aca="false">(M118/O118)*100</f>
        <v>8.33333333333333</v>
      </c>
      <c r="S118" s="1" t="n">
        <f aca="false">(N118/O118)*100</f>
        <v>25</v>
      </c>
    </row>
    <row r="119" customFormat="false" ht="12.8" hidden="false" customHeight="false" outlineLevel="0" collapsed="false">
      <c r="A119" s="0" t="s">
        <v>61</v>
      </c>
      <c r="B119" s="0" t="s">
        <v>38</v>
      </c>
      <c r="C119" s="2" t="n">
        <v>2</v>
      </c>
      <c r="D119" s="2" t="n">
        <v>3</v>
      </c>
      <c r="E119" s="2" t="n">
        <v>3</v>
      </c>
      <c r="F119" s="2" t="n">
        <v>3</v>
      </c>
      <c r="G119" s="2" t="n">
        <v>0.438</v>
      </c>
      <c r="H119" s="2" t="n">
        <v>3</v>
      </c>
      <c r="K119" s="0" t="n">
        <f aca="false">C119*4</f>
        <v>8</v>
      </c>
      <c r="L119" s="0" t="n">
        <f aca="false">D119*1</f>
        <v>3</v>
      </c>
      <c r="M119" s="0" t="n">
        <f aca="false">E119*2</f>
        <v>6</v>
      </c>
      <c r="N119" s="0" t="n">
        <f aca="false">F119*2</f>
        <v>6</v>
      </c>
      <c r="O119" s="0" t="n">
        <f aca="false">(C119*4)+(D119*1)+(E119*2)+(F119*2)</f>
        <v>23</v>
      </c>
      <c r="P119" s="1" t="n">
        <f aca="false">(K119/O119)*100</f>
        <v>34.7826086956522</v>
      </c>
      <c r="Q119" s="1" t="n">
        <f aca="false">(L119/O119)*100</f>
        <v>13.0434782608696</v>
      </c>
      <c r="R119" s="1" t="n">
        <f aca="false">(M119/O119)*100</f>
        <v>26.0869565217391</v>
      </c>
      <c r="S119" s="1" t="n">
        <f aca="false">(N119/O119)*100</f>
        <v>26.0869565217391</v>
      </c>
    </row>
    <row r="120" customFormat="false" ht="12.8" hidden="false" customHeight="false" outlineLevel="0" collapsed="false">
      <c r="A120" s="0" t="s">
        <v>62</v>
      </c>
      <c r="B120" s="0" t="s">
        <v>38</v>
      </c>
      <c r="C120" s="2" t="n">
        <v>4</v>
      </c>
      <c r="D120" s="2" t="n">
        <v>3</v>
      </c>
      <c r="E120" s="2" t="n">
        <v>3</v>
      </c>
      <c r="F120" s="2" t="n">
        <v>3</v>
      </c>
      <c r="G120" s="2" t="n">
        <v>0.716</v>
      </c>
      <c r="H120" s="2" t="n">
        <v>4</v>
      </c>
      <c r="K120" s="0" t="n">
        <f aca="false">C120*4</f>
        <v>16</v>
      </c>
      <c r="L120" s="0" t="n">
        <f aca="false">D120*1</f>
        <v>3</v>
      </c>
      <c r="M120" s="0" t="n">
        <f aca="false">E120*2</f>
        <v>6</v>
      </c>
      <c r="N120" s="0" t="n">
        <f aca="false">F120*2</f>
        <v>6</v>
      </c>
      <c r="O120" s="0" t="n">
        <f aca="false">(C120*4)+(D120*1)+(E120*2)+(F120*2)</f>
        <v>31</v>
      </c>
      <c r="P120" s="1" t="n">
        <f aca="false">(K120/O120)*100</f>
        <v>51.6129032258065</v>
      </c>
      <c r="Q120" s="1" t="n">
        <f aca="false">(L120/O120)*100</f>
        <v>9.67741935483871</v>
      </c>
      <c r="R120" s="1" t="n">
        <f aca="false">(M120/O120)*100</f>
        <v>19.3548387096774</v>
      </c>
      <c r="S120" s="1" t="n">
        <f aca="false">(N120/O120)*100</f>
        <v>19.3548387096774</v>
      </c>
    </row>
    <row r="121" customFormat="false" ht="12.8" hidden="false" customHeight="false" outlineLevel="0" collapsed="false">
      <c r="A121" s="0" t="s">
        <v>63</v>
      </c>
      <c r="B121" s="0" t="s">
        <v>38</v>
      </c>
      <c r="C121" s="2" t="n">
        <v>4</v>
      </c>
      <c r="D121" s="2" t="n">
        <v>1</v>
      </c>
      <c r="E121" s="2" t="n">
        <v>1</v>
      </c>
      <c r="F121" s="2" t="n">
        <v>3</v>
      </c>
      <c r="G121" s="2" t="n">
        <v>0.595</v>
      </c>
      <c r="H121" s="2" t="n">
        <v>3</v>
      </c>
      <c r="K121" s="0" t="n">
        <f aca="false">C121*4</f>
        <v>16</v>
      </c>
      <c r="L121" s="0" t="n">
        <f aca="false">D121*1</f>
        <v>1</v>
      </c>
      <c r="M121" s="0" t="n">
        <f aca="false">E121*2</f>
        <v>2</v>
      </c>
      <c r="N121" s="0" t="n">
        <f aca="false">F121*2</f>
        <v>6</v>
      </c>
      <c r="O121" s="0" t="n">
        <f aca="false">(C121*4)+(D121*1)+(E121*2)+(F121*2)</f>
        <v>25</v>
      </c>
      <c r="P121" s="1" t="n">
        <f aca="false">(K121/O121)*100</f>
        <v>64</v>
      </c>
      <c r="Q121" s="1" t="n">
        <f aca="false">(L121/O121)*100</f>
        <v>4</v>
      </c>
      <c r="R121" s="1" t="n">
        <f aca="false">(M121/O121)*100</f>
        <v>8</v>
      </c>
      <c r="S121" s="1" t="n">
        <f aca="false">(N121/O121)*100</f>
        <v>24</v>
      </c>
    </row>
    <row r="122" customFormat="false" ht="12.8" hidden="false" customHeight="false" outlineLevel="0" collapsed="false">
      <c r="A122" s="0" t="s">
        <v>64</v>
      </c>
      <c r="B122" s="0" t="s">
        <v>38</v>
      </c>
      <c r="C122" s="2" t="n">
        <v>2</v>
      </c>
      <c r="D122" s="2" t="n">
        <v>3</v>
      </c>
      <c r="E122" s="2" t="n">
        <v>1</v>
      </c>
      <c r="F122" s="2" t="n">
        <v>1</v>
      </c>
      <c r="G122" s="2" t="n">
        <v>0.212</v>
      </c>
      <c r="H122" s="2" t="n">
        <v>2</v>
      </c>
      <c r="K122" s="0" t="n">
        <f aca="false">C122*4</f>
        <v>8</v>
      </c>
      <c r="L122" s="0" t="n">
        <f aca="false">D122*1</f>
        <v>3</v>
      </c>
      <c r="M122" s="0" t="n">
        <f aca="false">E122*2</f>
        <v>2</v>
      </c>
      <c r="N122" s="0" t="n">
        <f aca="false">F122*2</f>
        <v>2</v>
      </c>
      <c r="O122" s="0" t="n">
        <f aca="false">(C122*4)+(D122*1)+(E122*2)+(F122*2)</f>
        <v>15</v>
      </c>
      <c r="P122" s="1" t="n">
        <f aca="false">(K122/O122)*100</f>
        <v>53.3333333333333</v>
      </c>
      <c r="Q122" s="1" t="n">
        <f aca="false">(L122/O122)*100</f>
        <v>20</v>
      </c>
      <c r="R122" s="1" t="n">
        <f aca="false">(M122/O122)*100</f>
        <v>13.3333333333333</v>
      </c>
      <c r="S122" s="1" t="n">
        <f aca="false">(N122/O122)*100</f>
        <v>13.3333333333333</v>
      </c>
    </row>
    <row r="123" customFormat="false" ht="12.8" hidden="false" customHeight="false" outlineLevel="0" collapsed="false">
      <c r="A123" s="0" t="s">
        <v>65</v>
      </c>
      <c r="B123" s="0" t="s">
        <v>38</v>
      </c>
      <c r="C123" s="2" t="n">
        <v>3</v>
      </c>
      <c r="D123" s="2" t="n">
        <v>5</v>
      </c>
      <c r="E123" s="2" t="n">
        <v>1</v>
      </c>
      <c r="F123" s="2" t="n">
        <v>3</v>
      </c>
      <c r="G123" s="2" t="n">
        <v>0.515</v>
      </c>
      <c r="H123" s="2" t="n">
        <v>3</v>
      </c>
      <c r="K123" s="0" t="n">
        <f aca="false">C123*4</f>
        <v>12</v>
      </c>
      <c r="L123" s="0" t="n">
        <f aca="false">D123*1</f>
        <v>5</v>
      </c>
      <c r="M123" s="0" t="n">
        <f aca="false">E123*2</f>
        <v>2</v>
      </c>
      <c r="N123" s="0" t="n">
        <f aca="false">F123*2</f>
        <v>6</v>
      </c>
      <c r="O123" s="0" t="n">
        <f aca="false">(C123*4)+(D123*1)+(E123*2)+(F123*2)</f>
        <v>25</v>
      </c>
      <c r="P123" s="1" t="n">
        <f aca="false">(K123/O123)*100</f>
        <v>48</v>
      </c>
      <c r="Q123" s="1" t="n">
        <f aca="false">(L123/O123)*100</f>
        <v>20</v>
      </c>
      <c r="R123" s="1" t="n">
        <f aca="false">(M123/O123)*100</f>
        <v>8</v>
      </c>
      <c r="S123" s="1" t="n">
        <f aca="false">(N123/O123)*100</f>
        <v>24</v>
      </c>
    </row>
    <row r="124" customFormat="false" ht="12.8" hidden="false" customHeight="false" outlineLevel="0" collapsed="false">
      <c r="A124" s="0" t="s">
        <v>66</v>
      </c>
      <c r="B124" s="0" t="s">
        <v>38</v>
      </c>
      <c r="C124" s="2" t="n">
        <v>2</v>
      </c>
      <c r="D124" s="2" t="n">
        <v>3</v>
      </c>
      <c r="E124" s="2" t="n">
        <v>1</v>
      </c>
      <c r="F124" s="2" t="n">
        <v>3</v>
      </c>
      <c r="G124" s="2" t="n">
        <v>0.386</v>
      </c>
      <c r="H124" s="2" t="n">
        <v>2</v>
      </c>
      <c r="K124" s="0" t="n">
        <f aca="false">C124*4</f>
        <v>8</v>
      </c>
      <c r="L124" s="0" t="n">
        <f aca="false">D124*1</f>
        <v>3</v>
      </c>
      <c r="M124" s="0" t="n">
        <f aca="false">E124*2</f>
        <v>2</v>
      </c>
      <c r="N124" s="0" t="n">
        <f aca="false">F124*2</f>
        <v>6</v>
      </c>
      <c r="O124" s="0" t="n">
        <f aca="false">(C124*4)+(D124*1)+(E124*2)+(F124*2)</f>
        <v>19</v>
      </c>
      <c r="P124" s="1" t="n">
        <f aca="false">(K124/O124)*100</f>
        <v>42.1052631578947</v>
      </c>
      <c r="Q124" s="1" t="n">
        <f aca="false">(L124/O124)*100</f>
        <v>15.7894736842105</v>
      </c>
      <c r="R124" s="1" t="n">
        <f aca="false">(M124/O124)*100</f>
        <v>10.5263157894737</v>
      </c>
      <c r="S124" s="1" t="n">
        <f aca="false">(N124/O124)*100</f>
        <v>31.5789473684211</v>
      </c>
    </row>
    <row r="125" customFormat="false" ht="12.8" hidden="false" customHeight="false" outlineLevel="0" collapsed="false">
      <c r="A125" s="0" t="s">
        <v>67</v>
      </c>
      <c r="B125" s="0" t="s">
        <v>38</v>
      </c>
      <c r="C125" s="2" t="n">
        <v>5</v>
      </c>
      <c r="D125" s="2" t="n">
        <v>2</v>
      </c>
      <c r="E125" s="2" t="n">
        <v>1</v>
      </c>
      <c r="F125" s="2" t="n">
        <v>3</v>
      </c>
      <c r="G125" s="2" t="n">
        <v>0.677</v>
      </c>
      <c r="H125" s="2" t="n">
        <v>4</v>
      </c>
      <c r="K125" s="0" t="n">
        <f aca="false">C125*4</f>
        <v>20</v>
      </c>
      <c r="L125" s="0" t="n">
        <f aca="false">D125*1</f>
        <v>2</v>
      </c>
      <c r="M125" s="0" t="n">
        <f aca="false">E125*2</f>
        <v>2</v>
      </c>
      <c r="N125" s="0" t="n">
        <f aca="false">F125*2</f>
        <v>6</v>
      </c>
      <c r="O125" s="0" t="n">
        <f aca="false">(C125*4)+(D125*1)+(E125*2)+(F125*2)</f>
        <v>30</v>
      </c>
      <c r="P125" s="1" t="n">
        <f aca="false">(K125/O125)*100</f>
        <v>66.6666666666667</v>
      </c>
      <c r="Q125" s="1" t="n">
        <f aca="false">(L125/O125)*100</f>
        <v>6.66666666666667</v>
      </c>
      <c r="R125" s="1" t="n">
        <f aca="false">(M125/O125)*100</f>
        <v>6.66666666666667</v>
      </c>
      <c r="S125" s="1" t="n">
        <f aca="false">(N125/O125)*100</f>
        <v>20</v>
      </c>
    </row>
    <row r="126" customFormat="false" ht="12.8" hidden="false" customHeight="false" outlineLevel="0" collapsed="false">
      <c r="A126" s="0" t="s">
        <v>68</v>
      </c>
      <c r="B126" s="0" t="s">
        <v>38</v>
      </c>
      <c r="C126" s="2" t="n">
        <v>3</v>
      </c>
      <c r="D126" s="2" t="n">
        <v>4</v>
      </c>
      <c r="E126" s="2" t="n">
        <v>3</v>
      </c>
      <c r="F126" s="2" t="n">
        <v>3</v>
      </c>
      <c r="G126" s="2" t="n">
        <v>0.579</v>
      </c>
      <c r="H126" s="2" t="n">
        <v>3</v>
      </c>
      <c r="K126" s="0" t="n">
        <f aca="false">C126*4</f>
        <v>12</v>
      </c>
      <c r="L126" s="0" t="n">
        <f aca="false">D126*1</f>
        <v>4</v>
      </c>
      <c r="M126" s="0" t="n">
        <f aca="false">E126*2</f>
        <v>6</v>
      </c>
      <c r="N126" s="0" t="n">
        <f aca="false">F126*2</f>
        <v>6</v>
      </c>
      <c r="O126" s="0" t="n">
        <f aca="false">(C126*4)+(D126*1)+(E126*2)+(F126*2)</f>
        <v>28</v>
      </c>
      <c r="P126" s="1" t="n">
        <f aca="false">(K126/O126)*100</f>
        <v>42.8571428571429</v>
      </c>
      <c r="Q126" s="1" t="n">
        <f aca="false">(L126/O126)*100</f>
        <v>14.2857142857143</v>
      </c>
      <c r="R126" s="1" t="n">
        <f aca="false">(M126/O126)*100</f>
        <v>21.4285714285714</v>
      </c>
      <c r="S126" s="1" t="n">
        <f aca="false">(N126/O126)*100</f>
        <v>21.4285714285714</v>
      </c>
    </row>
    <row r="127" customFormat="false" ht="12.8" hidden="false" customHeight="false" outlineLevel="0" collapsed="false">
      <c r="A127" s="0" t="s">
        <v>69</v>
      </c>
      <c r="B127" s="0" t="s">
        <v>38</v>
      </c>
      <c r="C127" s="2" t="n">
        <v>3</v>
      </c>
      <c r="D127" s="2" t="n">
        <v>2</v>
      </c>
      <c r="E127" s="2" t="n">
        <v>1</v>
      </c>
      <c r="F127" s="2" t="n">
        <v>3</v>
      </c>
      <c r="G127" s="2" t="n">
        <v>0.492</v>
      </c>
      <c r="H127" s="2" t="n">
        <v>3</v>
      </c>
      <c r="K127" s="0" t="n">
        <f aca="false">C127*4</f>
        <v>12</v>
      </c>
      <c r="L127" s="0" t="n">
        <f aca="false">D127*1</f>
        <v>2</v>
      </c>
      <c r="M127" s="0" t="n">
        <f aca="false">E127*2</f>
        <v>2</v>
      </c>
      <c r="N127" s="0" t="n">
        <f aca="false">F127*2</f>
        <v>6</v>
      </c>
      <c r="O127" s="0" t="n">
        <f aca="false">(C127*4)+(D127*1)+(E127*2)+(F127*2)</f>
        <v>22</v>
      </c>
      <c r="P127" s="1" t="n">
        <f aca="false">(K127/O127)*100</f>
        <v>54.5454545454545</v>
      </c>
      <c r="Q127" s="1" t="n">
        <f aca="false">(L127/O127)*100</f>
        <v>9.09090909090909</v>
      </c>
      <c r="R127" s="1" t="n">
        <f aca="false">(M127/O127)*100</f>
        <v>9.09090909090909</v>
      </c>
      <c r="S127" s="1" t="n">
        <f aca="false">(N127/O127)*100</f>
        <v>27.2727272727273</v>
      </c>
    </row>
    <row r="128" customFormat="false" ht="12.8" hidden="false" customHeight="false" outlineLevel="0" collapsed="false">
      <c r="A128" s="0" t="s">
        <v>70</v>
      </c>
      <c r="B128" s="0" t="s">
        <v>38</v>
      </c>
      <c r="C128" s="2" t="n">
        <v>1</v>
      </c>
      <c r="D128" s="2" t="n">
        <v>2</v>
      </c>
      <c r="E128" s="2" t="n">
        <v>1</v>
      </c>
      <c r="F128" s="2" t="n">
        <v>3</v>
      </c>
      <c r="G128" s="2" t="n">
        <v>0.308</v>
      </c>
      <c r="H128" s="2" t="n">
        <v>2</v>
      </c>
      <c r="K128" s="0" t="n">
        <f aca="false">C128*4</f>
        <v>4</v>
      </c>
      <c r="L128" s="0" t="n">
        <f aca="false">D128*1</f>
        <v>2</v>
      </c>
      <c r="M128" s="0" t="n">
        <f aca="false">E128*2</f>
        <v>2</v>
      </c>
      <c r="N128" s="0" t="n">
        <f aca="false">F128*2</f>
        <v>6</v>
      </c>
      <c r="O128" s="0" t="n">
        <f aca="false">(C128*4)+(D128*1)+(E128*2)+(F128*2)</f>
        <v>14</v>
      </c>
      <c r="P128" s="1" t="n">
        <f aca="false">(K128/O128)*100</f>
        <v>28.5714285714286</v>
      </c>
      <c r="Q128" s="1" t="n">
        <f aca="false">(L128/O128)*100</f>
        <v>14.2857142857143</v>
      </c>
      <c r="R128" s="1" t="n">
        <f aca="false">(M128/O128)*100</f>
        <v>14.2857142857143</v>
      </c>
      <c r="S128" s="1" t="n">
        <f aca="false">(N128/O128)*100</f>
        <v>42.8571428571429</v>
      </c>
    </row>
    <row r="129" customFormat="false" ht="12.8" hidden="false" customHeight="false" outlineLevel="0" collapsed="false">
      <c r="A129" s="0" t="s">
        <v>71</v>
      </c>
      <c r="B129" s="0" t="s">
        <v>38</v>
      </c>
      <c r="C129" s="2" t="n">
        <v>4</v>
      </c>
      <c r="D129" s="2" t="n">
        <v>4</v>
      </c>
      <c r="E129" s="2" t="n">
        <v>4</v>
      </c>
      <c r="F129" s="2" t="n">
        <v>3</v>
      </c>
      <c r="G129" s="2" t="n">
        <v>0.776</v>
      </c>
      <c r="H129" s="2" t="n">
        <v>4</v>
      </c>
      <c r="K129" s="0" t="n">
        <f aca="false">C129*4</f>
        <v>16</v>
      </c>
      <c r="L129" s="0" t="n">
        <f aca="false">D129*1</f>
        <v>4</v>
      </c>
      <c r="M129" s="0" t="n">
        <f aca="false">E129*2</f>
        <v>8</v>
      </c>
      <c r="N129" s="0" t="n">
        <f aca="false">F129*2</f>
        <v>6</v>
      </c>
      <c r="O129" s="0" t="n">
        <f aca="false">(C129*4)+(D129*1)+(E129*2)+(F129*2)</f>
        <v>34</v>
      </c>
      <c r="P129" s="1" t="n">
        <f aca="false">(K129/O129)*100</f>
        <v>47.0588235294118</v>
      </c>
      <c r="Q129" s="1" t="n">
        <f aca="false">(L129/O129)*100</f>
        <v>11.7647058823529</v>
      </c>
      <c r="R129" s="1" t="n">
        <f aca="false">(M129/O129)*100</f>
        <v>23.5294117647059</v>
      </c>
      <c r="S129" s="1" t="n">
        <f aca="false">(N129/O129)*100</f>
        <v>17.6470588235294</v>
      </c>
    </row>
    <row r="130" customFormat="false" ht="12.8" hidden="false" customHeight="false" outlineLevel="0" collapsed="false">
      <c r="A130" s="0" t="s">
        <v>72</v>
      </c>
      <c r="B130" s="0" t="s">
        <v>38</v>
      </c>
      <c r="C130" s="2" t="n">
        <v>2</v>
      </c>
      <c r="D130" s="2" t="n">
        <v>3</v>
      </c>
      <c r="E130" s="2" t="n">
        <v>5</v>
      </c>
      <c r="F130" s="2" t="n">
        <v>3</v>
      </c>
      <c r="G130" s="2" t="n">
        <v>0.5</v>
      </c>
      <c r="H130" s="2" t="n">
        <v>3</v>
      </c>
      <c r="K130" s="0" t="n">
        <f aca="false">C130*4</f>
        <v>8</v>
      </c>
      <c r="L130" s="0" t="n">
        <f aca="false">D130*1</f>
        <v>3</v>
      </c>
      <c r="M130" s="0" t="n">
        <f aca="false">E130*2</f>
        <v>10</v>
      </c>
      <c r="N130" s="0" t="n">
        <f aca="false">F130*2</f>
        <v>6</v>
      </c>
      <c r="O130" s="0" t="n">
        <f aca="false">(C130*4)+(D130*1)+(E130*2)+(F130*2)</f>
        <v>27</v>
      </c>
      <c r="P130" s="1" t="n">
        <f aca="false">(K130/O130)*100</f>
        <v>29.6296296296296</v>
      </c>
      <c r="Q130" s="1" t="n">
        <f aca="false">(L130/O130)*100</f>
        <v>11.1111111111111</v>
      </c>
      <c r="R130" s="1" t="n">
        <f aca="false">(M130/O130)*100</f>
        <v>37.037037037037</v>
      </c>
      <c r="S130" s="1" t="n">
        <f aca="false">(N130/O130)*100</f>
        <v>22.2222222222222</v>
      </c>
    </row>
    <row r="131" customFormat="false" ht="12.8" hidden="false" customHeight="false" outlineLevel="0" collapsed="false">
      <c r="A131" s="0" t="s">
        <v>73</v>
      </c>
      <c r="B131" s="0" t="s">
        <v>38</v>
      </c>
      <c r="C131" s="2" t="n">
        <v>3</v>
      </c>
      <c r="D131" s="2" t="n">
        <v>2</v>
      </c>
      <c r="E131" s="2" t="n">
        <v>1</v>
      </c>
      <c r="F131" s="2" t="n">
        <v>3</v>
      </c>
      <c r="G131" s="2" t="n">
        <v>0.492</v>
      </c>
      <c r="H131" s="2" t="n">
        <v>3</v>
      </c>
      <c r="K131" s="0" t="n">
        <f aca="false">C131*4</f>
        <v>12</v>
      </c>
      <c r="L131" s="0" t="n">
        <f aca="false">D131*1</f>
        <v>2</v>
      </c>
      <c r="M131" s="0" t="n">
        <f aca="false">E131*2</f>
        <v>2</v>
      </c>
      <c r="N131" s="0" t="n">
        <f aca="false">F131*2</f>
        <v>6</v>
      </c>
      <c r="O131" s="0" t="n">
        <f aca="false">(C131*4)+(D131*1)+(E131*2)+(F131*2)</f>
        <v>22</v>
      </c>
      <c r="P131" s="1" t="n">
        <f aca="false">(K131/O131)*100</f>
        <v>54.5454545454545</v>
      </c>
      <c r="Q131" s="1" t="n">
        <f aca="false">(L131/O131)*100</f>
        <v>9.09090909090909</v>
      </c>
      <c r="R131" s="1" t="n">
        <f aca="false">(M131/O131)*100</f>
        <v>9.09090909090909</v>
      </c>
      <c r="S131" s="1" t="n">
        <f aca="false">(N131/O131)*100</f>
        <v>27.2727272727273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2026-07-02T03:30:48Z</dcterms:created>
  <dc:creator/>
  <dc:description/>
  <dc:language>en-US</dc:language>
  <cp:lastModifiedBy/>
  <dcterms:modified xsi:type="dcterms:W3CDTF">2026-07-02T05:13:20Z</dcterms:modified>
  <cp:revision>1</cp:revision>
  <dc:subject/>
  <dc:title/>
</cp:coreProperties>
</file>